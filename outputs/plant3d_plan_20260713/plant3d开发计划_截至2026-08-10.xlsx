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90e6f103d46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总览" sheetId="1" r:id="Rc33b60b726e24d1c"/>
    <x:sheet xmlns:r="http://schemas.openxmlformats.org/officeDocument/2006/relationships" name="功能盘点" sheetId="2" r:id="R2f68fd6e4fc34709"/>
    <x:sheet xmlns:r="http://schemas.openxmlformats.org/officeDocument/2006/relationships" name="开发排期" sheetId="3" r:id="Rea9f8d8b180e4ba9"/>
    <x:sheet xmlns:r="http://schemas.openxmlformats.org/officeDocument/2006/relationships" name="周计划" sheetId="4" r:id="Rc336f6d56b6d4480"/>
    <x:sheet xmlns:r="http://schemas.openxmlformats.org/officeDocument/2006/relationships" name="风险与验收" sheetId="5" r:id="R6897b9ffba28412c"/>
    <x:sheet xmlns:r="http://schemas.openxmlformats.org/officeDocument/2006/relationships" name="资源负载" sheetId="6" r:id="R5b24abd60633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%"/>
    <x:numFmt numFmtId="202" formatCode="0.0"/>
    <x:numFmt numFmtId="203" formatCode="m/d"/>
  </x:numFmts>
  <x:fonts count="20">
    <x:font>
      <x:sz val="11"/>
      <x:name val="Carlito"/>
    </x:font>
    <x:font>
      <x:b/>
      <x:sz val="18"/>
      <x:color rgb="FFFFFFFF"/>
      <x:name val="Carlito"/>
    </x:font>
    <x:font>
      <x:sz val="10"/>
      <x:color rgb="FF666666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b/>
      <x:sz val="11"/>
      <x:color rgb="FF7F6000"/>
      <x:name val="Carlito"/>
    </x:font>
    <x:font>
      <x:b/>
      <x:sz val="18"/>
      <x:color rgb="FFFFFFFF"/>
      <x:name val="Microsoft YaHei"/>
    </x:font>
    <x:font>
      <x:sz val="10"/>
      <x:color rgb="FF666666"/>
      <x:name val="Microsoft YaHei"/>
    </x:font>
    <x:font>
      <x:sz val="11"/>
      <x:name val="Microsoft YaHei"/>
    </x:font>
    <x:font>
      <x:b/>
      <x:sz val="11"/>
      <x:color rgb="FF1F2937"/>
      <x:name val="Microsoft YaHei"/>
    </x:font>
    <x:font>
      <x:b/>
      <x:sz val="12"/>
      <x:color rgb="FFFFFFFF"/>
      <x:name val="Microsoft YaHei"/>
    </x:font>
    <x:font>
      <x:b/>
      <x:sz val="11"/>
      <x:color rgb="FFFFFFFF"/>
      <x:name val="Microsoft YaHei"/>
    </x:font>
    <x:font>
      <x:sz val="10"/>
      <x:color rgb="FF1F2937"/>
      <x:name val="Microsoft YaHei"/>
    </x:font>
    <x:font>
      <x:b/>
      <x:sz val="10"/>
      <x:color rgb="FF1F2937"/>
      <x:name val="Microsoft YaHei"/>
    </x:font>
    <x:font>
      <x:b/>
      <x:sz val="11"/>
      <x:color rgb="FF7F6000"/>
      <x:name val="Microsoft YaHei"/>
    </x:font>
    <x:font>
      <x:b/>
      <x:sz val="11"/>
      <x:color rgb="FF17365D"/>
      <x:name val="Carlito"/>
    </x:font>
    <x:font>
      <x:b/>
      <x:sz val="11"/>
      <x:color rgb="FF17365D"/>
      <x:name val="Microsoft YaHei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18">
    <x:border/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bottom style="thin">
        <x:color rgb="FFE7EAF0"/>
      </x:bottom>
    </x:border>
    <x:border>
      <x:top style="thin">
        <x:color rgb="FFE7EAF0"/>
      </x:top>
      <x:bottom style="thin">
        <x:color rgb="FFE7EAF0"/>
      </x:bottom>
    </x:border>
    <x:border>
      <x:left style="medium">
        <x:color rgb="FFFFC000"/>
      </x:left>
      <x:top style="medium">
        <x:color rgb="FFFFC000"/>
      </x:top>
    </x:border>
    <x:border>
      <x:top style="medium">
        <x:color rgb="FFFFC000"/>
      </x:top>
    </x:border>
    <x:border>
      <x:right style="medium">
        <x:color rgb="FFFFC000"/>
      </x:right>
      <x:top style="medium">
        <x:color rgb="FFFFC000"/>
      </x:top>
    </x:border>
    <x:border>
      <x:left style="medium">
        <x:color rgb="FFFFC000"/>
      </x:left>
    </x:border>
    <x:border>
      <x:right style="medium">
        <x:color rgb="FFFFC000"/>
      </x:right>
    </x:border>
    <x:border>
      <x:left style="medium">
        <x:color rgb="FFFFC000"/>
      </x:left>
      <x:bottom style="medium">
        <x:color rgb="FFFFC000"/>
      </x:bottom>
    </x:border>
    <x:border>
      <x:bottom style="medium">
        <x:color rgb="FFFFC000"/>
      </x:bottom>
    </x:border>
    <x:border>
      <x:right style="medium">
        <x:color rgb="FFFFC000"/>
      </x:right>
      <x:bottom style="medium">
        <x:color rgb="FFFFC000"/>
      </x:bottom>
    </x:border>
    <x:border>
      <x:left style="medium">
        <x:color rgb="FFFFC000"/>
      </x:left>
      <x:top style="medium">
        <x:color rgb="FFFFC000"/>
      </x:top>
      <x:bottom style="medium">
        <x:color rgb="FFFFC000"/>
      </x:bottom>
    </x:border>
    <x:border>
      <x:top style="medium">
        <x:color rgb="FFFFC000"/>
      </x:top>
      <x:bottom style="medium">
        <x:color rgb="FFFFC000"/>
      </x:bottom>
    </x:border>
    <x:border>
      <x:right style="medium">
        <x:color rgb="FFFFC000"/>
      </x:right>
      <x:top style="medium">
        <x:color rgb="FFFFC000"/>
      </x:top>
      <x:bottom style="medium">
        <x:color rgb="FFFFC000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200" fontId="0" fillId="3" borderId="0" xfId="0" applyNumberFormat="1" applyFont="1" applyFill="1" applyBorder="1"/>
    <x:xf numFmtId="200" fontId="3" fillId="3" borderId="0" xfId="0" applyNumberFormat="1" applyFont="1" applyFill="1" applyBorder="1"/>
    <x:xf numFmtId="200" fontId="3" fillId="3" borderId="0" xfId="0" applyNumberFormat="1" applyFont="1" applyFill="1" applyBorder="1" applyAlignment="1">
      <x:alignment vertical="center"/>
    </x:xf>
    <x:xf numFmtId="200" fontId="3" fillId="3" borderId="3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4" xfId="0" applyNumberFormat="1" applyFont="1" applyFill="1" applyBorder="1" applyAlignment="1">
      <x:alignment horizont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200" fontId="6" fillId="0" borderId="5" xfId="0" applyNumberFormat="1" applyFont="1" applyFill="1" applyBorder="1" applyAlignment="1">
      <x:alignment vertical="top" wrapText="1"/>
    </x:xf>
    <x:xf numFmtId="200" fontId="6" fillId="0" borderId="6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  <x:xf numFmtId="0" fontId="6" fillId="4" borderId="6" xfId="0" applyNumberFormat="1" applyFont="1" applyFill="1" applyBorder="1" applyAlignment="1">
      <x:alignment vertical="top" wrapText="1"/>
    </x:xf>
    <x:xf numFmtId="0" fontId="7" fillId="4" borderId="5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9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7" xfId="0" applyNumberFormat="1" applyFont="1" applyFill="1" applyBorder="1" applyAlignment="1">
      <x:alignment wrapText="1"/>
    </x:xf>
    <x:xf numFmtId="0" fontId="8" fillId="6" borderId="8" xfId="0" applyNumberFormat="1" applyFont="1" applyFill="1" applyBorder="1" applyAlignment="1">
      <x:alignment wrapText="1"/>
    </x:xf>
    <x:xf numFmtId="0" fontId="8" fillId="6" borderId="9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7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0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 applyAlignment="1">
      <x:alignment vertical="center"/>
    </x:xf>
    <x:xf numFmtId="200" fontId="12" fillId="4" borderId="0" xfId="0" applyNumberFormat="1" applyFont="1" applyFill="1" applyBorder="1" applyAlignment="1">
      <x:alignment vertical="center"/>
    </x:xf>
    <x:xf numFmtId="0" fontId="12" fillId="3" borderId="1" xfId="0" applyNumberFormat="1" applyFont="1" applyFill="1" applyBorder="1" applyAlignment="1">
      <x:alignment vertical="center"/>
    </x:xf>
    <x:xf numFmtId="0" fontId="12" fillId="3" borderId="2" xfId="0" applyNumberFormat="1" applyFont="1" applyFill="1" applyBorder="1" applyAlignment="1">
      <x:alignment vertical="center"/>
    </x:xf>
    <x:xf numFmtId="0" fontId="12" fillId="3" borderId="3" xfId="0" applyNumberFormat="1" applyFont="1" applyFill="1" applyBorder="1" applyAlignment="1">
      <x:alignment vertical="center"/>
    </x:xf>
    <x:xf numFmtId="200" fontId="12" fillId="3" borderId="3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/>
    <x:xf numFmtId="0" fontId="14" fillId="5" borderId="4" xfId="0" applyNumberFormat="1" applyFont="1" applyFill="1" applyBorder="1" applyAlignment="1">
      <x:alignment horizontal="center" vertical="center" wrapText="1"/>
    </x:xf>
    <x:xf numFmtId="0" fontId="15" fillId="0" borderId="5" xfId="0" applyNumberFormat="1" applyFont="1" applyFill="1" applyBorder="1" applyAlignment="1">
      <x:alignment vertical="top" wrapText="1"/>
    </x:xf>
    <x:xf numFmtId="200" fontId="15" fillId="0" borderId="5" xfId="0" applyNumberFormat="1" applyFont="1" applyFill="1" applyBorder="1" applyAlignment="1">
      <x:alignment vertical="top" wrapText="1"/>
    </x:xf>
    <x:xf numFmtId="0" fontId="15" fillId="0" borderId="6" xfId="0" applyNumberFormat="1" applyFont="1" applyFill="1" applyBorder="1" applyAlignment="1">
      <x:alignment vertical="top" wrapText="1"/>
    </x:xf>
    <x:xf numFmtId="200" fontId="15" fillId="0" borderId="6" xfId="0" applyNumberFormat="1" applyFont="1" applyFill="1" applyBorder="1" applyAlignment="1">
      <x:alignment vertical="top" wrapText="1"/>
    </x:xf>
    <x:xf numFmtId="0" fontId="16" fillId="4" borderId="5" xfId="0" applyNumberFormat="1" applyFont="1" applyFill="1" applyBorder="1" applyAlignment="1">
      <x:alignment vertical="top" wrapText="1"/>
    </x:xf>
    <x:xf numFmtId="0" fontId="16" fillId="4" borderId="6" xfId="0" applyNumberFormat="1" applyFont="1" applyFill="1" applyBorder="1" applyAlignment="1">
      <x:alignment vertical="top" wrapText="1"/>
    </x:xf>
    <x:xf numFmtId="0" fontId="17" fillId="6" borderId="7" xfId="0" applyNumberFormat="1" applyFont="1" applyFill="1" applyBorder="1" applyAlignment="1">
      <x:alignment vertical="center" wrapText="1"/>
    </x:xf>
    <x:xf numFmtId="0" fontId="17" fillId="6" borderId="8" xfId="0" applyNumberFormat="1" applyFont="1" applyFill="1" applyBorder="1" applyAlignment="1">
      <x:alignment vertical="center" wrapText="1"/>
    </x:xf>
    <x:xf numFmtId="0" fontId="17" fillId="6" borderId="9" xfId="0" applyNumberFormat="1" applyFont="1" applyFill="1" applyBorder="1" applyAlignment="1">
      <x:alignment vertical="center" wrapText="1"/>
    </x:xf>
    <x:xf numFmtId="0" fontId="17" fillId="6" borderId="10" xfId="0" applyNumberFormat="1" applyFont="1" applyFill="1" applyBorder="1" applyAlignment="1">
      <x:alignment vertical="center" wrapText="1"/>
    </x:xf>
    <x:xf numFmtId="0" fontId="17" fillId="6" borderId="0" xfId="0" applyNumberFormat="1" applyFont="1" applyFill="1" applyBorder="1" applyAlignment="1">
      <x:alignment vertical="center" wrapText="1"/>
    </x:xf>
    <x:xf numFmtId="0" fontId="17" fillId="6" borderId="11" xfId="0" applyNumberFormat="1" applyFont="1" applyFill="1" applyBorder="1" applyAlignment="1">
      <x:alignment vertical="center" wrapText="1"/>
    </x:xf>
    <x:xf numFmtId="0" fontId="17" fillId="6" borderId="12" xfId="0" applyNumberFormat="1" applyFont="1" applyFill="1" applyBorder="1" applyAlignment="1">
      <x:alignment vertical="center" wrapText="1"/>
    </x:xf>
    <x:xf numFmtId="0" fontId="17" fillId="6" borderId="13" xfId="0" applyNumberFormat="1" applyFont="1" applyFill="1" applyBorder="1" applyAlignment="1">
      <x:alignment vertical="center" wrapText="1"/>
    </x:xf>
    <x:xf numFmtId="0" fontId="17" fillId="6" borderId="14" xfId="0" applyNumberFormat="1" applyFont="1" applyFill="1" applyBorder="1" applyAlignment="1">
      <x:alignment vertical="center" wrapText="1"/>
    </x:xf>
    <x:xf numFmtId="201" fontId="6" fillId="0" borderId="5" xfId="0" applyNumberFormat="1" applyFont="1" applyFill="1" applyBorder="1" applyAlignment="1">
      <x:alignment vertical="top" wrapText="1"/>
    </x:xf>
    <x:xf numFmtId="201" fontId="6" fillId="0" borderId="6" xfId="0" applyNumberFormat="1" applyFont="1" applyFill="1" applyBorder="1" applyAlignment="1">
      <x:alignment vertical="top" wrapText="1"/>
    </x:xf>
    <x:xf numFmtId="201" fontId="15" fillId="0" borderId="5" xfId="0" applyNumberFormat="1" applyFont="1" applyFill="1" applyBorder="1" applyAlignment="1">
      <x:alignment vertical="top" wrapText="1"/>
    </x:xf>
    <x:xf numFmtId="201" fontId="15" fillId="0" borderId="6" xfId="0" applyNumberFormat="1" applyFont="1" applyFill="1" applyBorder="1" applyAlignment="1">
      <x:alignment vertical="top" wrapText="1"/>
    </x:xf>
    <x:xf numFmtId="202" fontId="6" fillId="0" borderId="5" xfId="0" applyNumberFormat="1" applyFont="1" applyFill="1" applyBorder="1" applyAlignment="1">
      <x:alignment vertical="top" wrapText="1"/>
    </x:xf>
    <x:xf numFmtId="202" fontId="6" fillId="0" borderId="6" xfId="0" applyNumberFormat="1" applyFont="1" applyFill="1" applyBorder="1" applyAlignment="1">
      <x:alignment vertical="top" wrapText="1"/>
    </x:xf>
    <x:xf numFmtId="202" fontId="15" fillId="0" borderId="5" xfId="0" applyNumberFormat="1" applyFont="1" applyFill="1" applyBorder="1" applyAlignment="1">
      <x:alignment vertical="top" wrapText="1"/>
    </x:xf>
    <x:xf numFmtId="202" fontId="15" fillId="0" borderId="6" xfId="0" applyNumberFormat="1" applyFont="1" applyFill="1" applyBorder="1" applyAlignment="1">
      <x:alignment vertical="top" wrapText="1"/>
    </x:xf>
    <x:xf numFmtId="203" fontId="5" fillId="5" borderId="4" xfId="0" applyNumberFormat="1" applyFont="1" applyFill="1" applyBorder="1" applyAlignment="1">
      <x:alignment horizontal="center" vertical="center" wrapText="1"/>
    </x:xf>
    <x:xf numFmtId="0" fontId="18" fillId="4" borderId="0" xfId="0" applyNumberFormat="1" applyFont="1" applyFill="1" applyBorder="1"/>
    <x:xf numFmtId="0" fontId="18" fillId="4" borderId="0" xfId="0" applyNumberFormat="1" applyFont="1" applyFill="1" applyBorder="1" applyAlignment="1">
      <x:alignment horizontal="center"/>
    </x:xf>
    <x:xf numFmtId="0" fontId="18" fillId="4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8" fillId="7" borderId="0" xfId="0" applyNumberFormat="1" applyFont="1" applyFill="1" applyBorder="1"/>
    <x:xf numFmtId="0" fontId="18" fillId="7" borderId="0" xfId="0" applyNumberFormat="1" applyFont="1" applyFill="1" applyBorder="1" applyAlignment="1">
      <x:alignment horizontal="center"/>
    </x:xf>
    <x:xf numFmtId="0" fontId="18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8" fillId="8" borderId="0" xfId="0" applyNumberFormat="1" applyFont="1" applyFill="1" applyBorder="1"/>
    <x:xf numFmtId="0" fontId="18" fillId="8" borderId="0" xfId="0" applyNumberFormat="1" applyFont="1" applyFill="1" applyBorder="1" applyAlignment="1">
      <x:alignment horizontal="center"/>
    </x:xf>
    <x:xf numFmtId="0" fontId="18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horizontal="center"/>
    </x:xf>
    <x:xf numFmtId="0" fontId="18" fillId="9" borderId="0" xfId="0" applyNumberFormat="1" applyFont="1" applyFill="1" applyBorder="1" applyAlignment="1">
      <x:alignment horizontal="center" vertical="center"/>
    </x:xf>
    <x:xf numFmtId="0" fontId="18" fillId="6" borderId="0" xfId="0" applyNumberFormat="1" applyFont="1" applyFill="1" applyBorder="1"/>
    <x:xf numFmtId="0" fontId="18" fillId="6" borderId="0" xfId="0" applyNumberFormat="1" applyFont="1" applyFill="1" applyBorder="1" applyAlignment="1">
      <x:alignment horizontal="center"/>
    </x:xf>
    <x:xf numFmtId="0" fontId="18" fillId="6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horizontal="center"/>
    </x:xf>
    <x:xf numFmtId="0" fontId="1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8" fillId="11" borderId="0" xfId="0" applyNumberFormat="1" applyFont="1" applyFill="1" applyBorder="1"/>
    <x:xf numFmtId="0" fontId="18" fillId="11" borderId="0" xfId="0" applyNumberFormat="1" applyFont="1" applyFill="1" applyBorder="1" applyAlignment="1">
      <x:alignment horizontal="center"/>
    </x:xf>
    <x:xf numFmtId="0" fontId="18" fillId="11" borderId="0" xfId="0" applyNumberFormat="1" applyFont="1" applyFill="1" applyBorder="1" applyAlignment="1">
      <x:alignment horizontal="center" vertical="center"/>
    </x:xf>
    <x:xf numFmtId="203" fontId="14" fillId="5" borderId="4" xfId="0" applyNumberFormat="1" applyFont="1" applyFill="1" applyBorder="1" applyAlignment="1">
      <x:alignment horizontal="center" vertical="center" wrapText="1"/>
    </x:xf>
    <x:xf numFmtId="0" fontId="19" fillId="4" borderId="0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9" borderId="0" xfId="0" applyNumberFormat="1" applyFont="1" applyFill="1" applyBorder="1" applyAlignment="1">
      <x:alignment horizontal="center" vertical="center"/>
    </x:xf>
    <x:xf numFmtId="0" fontId="19" fillId="6" borderId="0" xfId="0" applyNumberFormat="1" applyFont="1" applyFill="1" applyBorder="1" applyAlignment="1">
      <x:alignment horizontal="center" vertical="center"/>
    </x:xf>
    <x:xf numFmtId="0" fontId="19" fillId="10" borderId="0" xfId="0" applyNumberFormat="1" applyFont="1" applyFill="1" applyBorder="1" applyAlignment="1">
      <x:alignment horizontal="center" vertical="center"/>
    </x:xf>
    <x:xf numFmtId="0" fontId="19" fillId="11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14" fillId="2" borderId="0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17" fillId="6" borderId="15" xfId="0" applyNumberFormat="1" applyFont="1" applyFill="1" applyBorder="1" applyAlignment="1">
      <x:alignment wrapText="1"/>
    </x:xf>
    <x:xf numFmtId="0" fontId="17" fillId="6" borderId="16" xfId="0" applyNumberFormat="1" applyFont="1" applyFill="1" applyBorder="1" applyAlignment="1">
      <x:alignment wrapText="1"/>
    </x:xf>
    <x:xf numFmtId="0" fontId="17" fillId="6" borderId="17" xfId="0" applyNumberFormat="1" applyFont="1" applyFill="1" applyBorder="1" applyAlignment="1">
      <x:alignment wrapText="1"/>
    </x:xf>
  </x:cellXfs>
  <x:cellStyles count="1">
    <x:cellStyle name="Normal" xfId="0"/>
  </x:cellStyles>
  <x:dxfs count="10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db7d78b48484e" /><Relationship Type="http://schemas.openxmlformats.org/officeDocument/2006/relationships/theme" Target="/xl/theme/theme1.xml" Id="R6c9343e457ce41f9" /><Relationship Type="http://schemas.openxmlformats.org/officeDocument/2006/relationships/sharedStrings" Target="/xl/sharedStrings.xml" Id="R169125a049f64f04" /><Relationship Type="http://schemas.openxmlformats.org/officeDocument/2006/relationships/worksheet" Target="/xl/worksheets/sheet1.xml" Id="Rc33b60b726e24d1c" /><Relationship Type="http://schemas.openxmlformats.org/officeDocument/2006/relationships/worksheet" Target="/xl/worksheets/sheet2.xml" Id="R2f68fd6e4fc34709" /><Relationship Type="http://schemas.openxmlformats.org/officeDocument/2006/relationships/worksheet" Target="/xl/worksheets/sheet3.xml" Id="Rea9f8d8b180e4ba9" /><Relationship Type="http://schemas.openxmlformats.org/officeDocument/2006/relationships/worksheet" Target="/xl/worksheets/sheet4.xml" Id="Rc336f6d56b6d4480" /><Relationship Type="http://schemas.openxmlformats.org/officeDocument/2006/relationships/worksheet" Target="/xl/worksheets/sheet5.xml" Id="R6897b9ffba28412c" /><Relationship Type="http://schemas.openxmlformats.org/officeDocument/2006/relationships/worksheet" Target="/xl/worksheets/sheet6.xml" Id="R5b24abd606334cc2" /></Relationships>
</file>

<file path=xl/tables/table1.xml><?xml version="1.0" encoding="utf-8"?>
<x:table xmlns:x="http://schemas.openxmlformats.org/spreadsheetml/2006/main" id="1" name="FeatureInventoryTable" displayName="FeatureInventoryTable" ref="A4:L16" headerRowCount="1" totalsRowCount="0" totalsRowShown="0">
  <x:tableColumns count="12">
    <x:tableColumn id="1" name="序号"/>
    <x:tableColumn id="2" name="图片功能"/>
    <x:tableColumn id="3" name="需求说明"/>
    <x:tableColumn id="4" name="现状"/>
    <x:tableColumn id="5" name="完成度%"/>
    <x:tableColumn id="6" name="当前证据"/>
    <x:tableColumn id="7" name="主要缺口"/>
    <x:tableColumn id="8" name="8/10 目标"/>
    <x:tableColumn id="9" name="优先级"/>
    <x:tableColumn id="10" name="最小复用方案"/>
    <x:tableColumn id="11" name="工作流"/>
    <x:tableColumn id="12" name="验收样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velopmentScheduleTable" displayName="DevelopmentScheduleTable" ref="A4:P40" headerRowCount="1" totalsRowCount="0" totalsRowShown="0">
  <x:tableColumns count="16">
    <x:tableColumn id="1" name="ID"/>
    <x:tableColumn id="2" name="阶段"/>
    <x:tableColumn id="3" name="工作流"/>
    <x:tableColumn id="4" name="功能项"/>
    <x:tableColumn id="5" name="任务"/>
    <x:tableColumn id="6" name="仓库/模块"/>
    <x:tableColumn id="7" name="主责"/>
    <x:tableColumn id="8" name="开始"/>
    <x:tableColumn id="9" name="结束"/>
    <x:tableColumn id="10" name="工作日"/>
    <x:tableColumn id="11" name="人日估算"/>
    <x:tableColumn id="12" name="前置"/>
    <x:tableColumn id="13" name="优先级"/>
    <x:tableColumn id="14" name="状态"/>
    <x:tableColumn id="15" name="交付物"/>
    <x:tableColumn id="16" name="验收标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33b3ffb6854f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9865e993ce40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34" hidden="0" customWidth="1"/>
    <x:col min="5" max="5" width="16" hidden="0" customWidth="1"/>
    <x:col min="6" max="6" width="34" hidden="0" customWidth="1"/>
    <x:col min="7" max="7" width="16" hidden="0" customWidth="1"/>
    <x:col min="8" max="8" width="22" hidden="0" customWidth="1"/>
  </x:cols>
  <x:sheetData>
    <x:row r="1" ht="32" customHeight="1">
      <x:c r="A1" s="73" t="str">
        <x:v>Plant3D 三维校审开发计划</x:v>
      </x:c>
      <x:c r="B1" s="73" t="str">
        <x:v>Plant3D 三维校审开发计划</x:v>
      </x:c>
      <x:c r="C1" s="73" t="str">
        <x:v>Plant3D 三维校审开发计划</x:v>
      </x:c>
      <x:c r="D1" s="73" t="str">
        <x:v>Plant3D 三维校审开发计划</x:v>
      </x:c>
      <x:c r="E1" s="73" t="str">
        <x:v>Plant3D 三维校审开发计划</x:v>
      </x:c>
      <x:c r="F1" s="73" t="str">
        <x:v>Plant3D 三维校审开发计划</x:v>
      </x:c>
      <x:c r="G1" s="73" t="str">
        <x:v>Plant3D 三维校审开发计划</x:v>
      </x:c>
      <x:c r="H1" s="73" t="str">
        <x:v>Plant3D 三维校审开发计划</x:v>
      </x:c>
    </x:row>
    <x:row r="2" ht="28" customHeight="1">
      <x:c r="A2" s="74" t="str">
        <x:v>依据：需求图片 + plant3d-web 当前三维校审实现 + plant-model-gen 增量更新/版本管理；截止 2026-08-10</x:v>
      </x:c>
      <x:c r="B2" s="74" t="str">
        <x:v>依据：需求图片 + plant3d-web 当前三维校审实现 + plant-model-gen 增量更新/版本管理；截止 2026-08-10</x:v>
      </x:c>
      <x:c r="C2" s="74" t="str">
        <x:v>依据：需求图片 + plant3d-web 当前三维校审实现 + plant-model-gen 增量更新/版本管理；截止 2026-08-10</x:v>
      </x:c>
      <x:c r="D2" s="74" t="str">
        <x:v>依据：需求图片 + plant3d-web 当前三维校审实现 + plant-model-gen 增量更新/版本管理；截止 2026-08-10</x:v>
      </x:c>
      <x:c r="E2" s="74" t="str">
        <x:v>依据：需求图片 + plant3d-web 当前三维校审实现 + plant-model-gen 增量更新/版本管理；截止 2026-08-10</x:v>
      </x:c>
      <x:c r="F2" s="74" t="str">
        <x:v>依据：需求图片 + plant3d-web 当前三维校审实现 + plant-model-gen 增量更新/版本管理；截止 2026-08-10</x:v>
      </x:c>
      <x:c r="G2" s="74" t="str">
        <x:v>依据：需求图片 + plant3d-web 当前三维校审实现 + plant-model-gen 增量更新/版本管理；截止 2026-08-10</x:v>
      </x:c>
      <x:c r="H2" s="74" t="str">
        <x:v>依据：需求图片 + plant3d-web 当前三维校审实现 + plant-model-gen 增量更新/版本管理；截止 2026-08-10</x:v>
      </x:c>
    </x:row>
    <x:row r="3">
      <x:c r="A3" s="75"/>
      <x:c r="B3" s="75"/>
      <x:c r="C3" s="75"/>
      <x:c r="D3" s="75"/>
      <x:c r="E3" s="75"/>
      <x:c r="F3" s="75"/>
      <x:c r="G3" s="75"/>
      <x:c r="H3" s="75"/>
    </x:row>
    <x:row r="4">
      <x:c r="A4" s="76" t="str">
        <x:v>计划起点</x:v>
      </x:c>
      <x:c r="B4" s="77" t="n">
        <x:v>46216.166666666664</x:v>
      </x:c>
      <x:c r="C4" s="76" t="str">
        <x:v>开发起点</x:v>
      </x:c>
      <x:c r="D4" s="77" t="n">
        <x:v>46217.166666666664</x:v>
      </x:c>
      <x:c r="E4" s="76" t="str">
        <x:v>截止日期</x:v>
      </x:c>
      <x:c r="F4" s="77" t="n">
        <x:v>46244.166666666664</x:v>
      </x:c>
      <x:c r="G4" s="76" t="str">
        <x:v>计划工作日</x:v>
      </x:c>
      <x:c r="H4" s="76" t="n">
        <x:f>NETWORKDAYS(D4,F4)</x:f>
        <x:v>20</x:v>
      </x:c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78" t="str">
        <x:v>图片功能项</x:v>
      </x:c>
      <x:c r="B6" s="79" t="n">
        <x:v>12</x:v>
      </x:c>
      <x:c r="C6" s="79" t="str">
        <x:v>已具备</x:v>
      </x:c>
      <x:c r="D6" s="79" t="n">
        <x:f>COUNTIF('功能盘点'!D5:D16,"已具备")</x:f>
        <x:v>5</x:v>
      </x:c>
      <x:c r="E6" s="79" t="str">
        <x:v>部分具备</x:v>
      </x:c>
      <x:c r="F6" s="79" t="n">
        <x:f>COUNTIF('功能盘点'!D5:D16,"部分具备")</x:f>
        <x:v>7</x:v>
      </x:c>
      <x:c r="G6" s="79" t="str">
        <x:v>待实现</x:v>
      </x:c>
      <x:c r="H6" s="80" t="n">
        <x:f>COUNTIF('功能盘点'!D5:D16,"待实现")</x:f>
        <x:v>0</x:v>
      </x:c>
    </x:row>
    <x:row r="7">
      <x:c r="A7" s="75"/>
      <x:c r="B7" s="75"/>
      <x:c r="C7" s="75"/>
      <x:c r="D7" s="75"/>
      <x:c r="E7" s="75"/>
      <x:c r="F7" s="75"/>
      <x:c r="G7" s="75"/>
      <x:c r="H7" s="75"/>
    </x:row>
    <x:row r="8">
      <x:c r="A8" s="78" t="str">
        <x:v>计划任务数</x:v>
      </x:c>
      <x:c r="B8" s="79" t="n">
        <x:f>COUNTA('开发排期'!A5:A40)</x:f>
        <x:v>36</x:v>
      </x:c>
      <x:c r="C8" s="79" t="str">
        <x:v>计划人日</x:v>
      </x:c>
      <x:c r="D8" s="79" t="n">
        <x:f>SUM('开发排期'!K5:K40)</x:f>
        <x:v>72</x:v>
      </x:c>
      <x:c r="E8" s="79" t="str">
        <x:v>里程碑数</x:v>
      </x:c>
      <x:c r="F8" s="79" t="n">
        <x:v>6</x:v>
      </x:c>
      <x:c r="G8" s="79" t="str">
        <x:v>最终发布</x:v>
      </x:c>
      <x:c r="H8" s="81" t="n">
        <x:v>46244.166666666664</x:v>
      </x:c>
    </x:row>
    <x:row r="9">
      <x:c r="A9" s="75"/>
      <x:c r="B9" s="75"/>
      <x:c r="C9" s="75"/>
      <x:c r="D9" s="75"/>
      <x:c r="E9" s="75"/>
      <x:c r="F9" s="75"/>
      <x:c r="G9" s="75"/>
      <x:c r="H9" s="75"/>
    </x:row>
    <x:row r="10">
      <x:c r="A10" s="75"/>
      <x:c r="B10" s="75"/>
      <x:c r="C10" s="75"/>
      <x:c r="D10" s="75"/>
      <x:c r="E10" s="75"/>
      <x:c r="F10" s="75"/>
      <x:c r="G10" s="75"/>
      <x:c r="H10" s="75"/>
    </x:row>
    <x:row r="11">
      <x:c r="A11" s="82" t="str">
        <x:v>里程碑</x:v>
      </x:c>
      <x:c r="B11" s="82" t="str">
        <x:v>里程碑</x:v>
      </x:c>
      <x:c r="C11" s="82" t="str">
        <x:v>里程碑</x:v>
      </x:c>
      <x:c r="D11" s="82" t="str">
        <x:v>里程碑</x:v>
      </x:c>
      <x:c r="E11" s="82" t="str">
        <x:v>里程碑</x:v>
      </x:c>
      <x:c r="F11" s="82" t="str">
        <x:v>里程碑</x:v>
      </x:c>
      <x:c r="G11" s="82" t="str">
        <x:v>里程碑</x:v>
      </x:c>
      <x:c r="H11" s="82" t="str">
        <x:v>里程碑</x:v>
      </x:c>
    </x:row>
    <x:row r="12" ht="28" customHeight="1">
      <x:c r="A12" s="83" t="str">
        <x:v>编号</x:v>
      </x:c>
      <x:c r="B12" s="83" t="str">
        <x:v>里程碑</x:v>
      </x:c>
      <x:c r="C12" s="83" t="str">
        <x:v>日期</x:v>
      </x:c>
      <x:c r="D12" s="83" t="str">
        <x:v>出口条件</x:v>
      </x:c>
      <x:c r="E12" s="83" t="str">
        <x:v>责任</x:v>
      </x:c>
      <x:c r="F12" s="83" t="str">
        <x:v>优先级</x:v>
      </x:c>
      <x:c r="G12" s="75"/>
      <x:c r="H12" s="75"/>
    </x:row>
    <x:row r="13">
      <x:c r="A13" s="84" t="str">
        <x:v>M0</x:v>
      </x:c>
      <x:c r="B13" s="84" t="str">
        <x:v>基线锁定</x:v>
      </x:c>
      <x:c r="C13" s="85" t="n">
        <x:v>46218.166666666664</x:v>
      </x:c>
      <x:c r="D13" s="84" t="str">
        <x:v>统一 DB1112 版本样例、确认工作树归属、记录 baseline pass/fail</x:v>
      </x:c>
      <x:c r="E13" s="84" t="str">
        <x:v>项目组</x:v>
      </x:c>
      <x:c r="F13" s="84" t="str">
        <x:v>P0</x:v>
      </x:c>
      <x:c r="G13" s="75"/>
      <x:c r="H13" s="75"/>
    </x:row>
    <x:row r="14">
      <x:c r="A14" s="86" t="str">
        <x:v>M1</x:v>
      </x:c>
      <x:c r="B14" s="86" t="str">
        <x:v>增量/版本底座可用</x:v>
      </x:c>
      <x:c r="C14" s="87" t="n">
        <x:v>46227.166666666664</x:v>
      </x:c>
      <x:c r="D14" s="86" t="str">
        <x:v>sesno 锚点、history CLI、release/diff 契约与显式发布链可验证</x:v>
      </x:c>
      <x:c r="E14" s="86" t="str">
        <x:v>后端/Rust</x:v>
      </x:c>
      <x:c r="F14" s="86" t="str">
        <x:v>P0</x:v>
      </x:c>
      <x:c r="G14" s="75"/>
      <x:c r="H14" s="75"/>
    </x:row>
    <x:row r="15">
      <x:c r="A15" s="86" t="str">
        <x:v>M2</x:v>
      </x:c>
      <x:c r="B15" s="86" t="str">
        <x:v>核心功能完成</x:v>
      </x:c>
      <x:c r="C15" s="87" t="n">
        <x:v>46234.166666666664</x:v>
      </x:c>
      <x:c r="D15" s="86" t="str">
        <x:v>版本对比、自动截图、文档预览、范围隔离、关键测量进入集成</x:v>
      </x:c>
      <x:c r="E15" s="86" t="str">
        <x:v>前端/3D</x:v>
      </x:c>
      <x:c r="F15" s="86" t="str">
        <x:v>P0</x:v>
      </x:c>
      <x:c r="G15" s="75"/>
      <x:c r="H15" s="75"/>
    </x:row>
    <x:row r="16">
      <x:c r="A16" s="86" t="str">
        <x:v>M3</x:v>
      </x:c>
      <x:c r="B16" s="86" t="str">
        <x:v>功能冻结</x:v>
      </x:c>
      <x:c r="C16" s="87" t="n">
        <x:v>46238.166666666664</x:v>
      </x:c>
      <x:c r="D16" s="86" t="str">
        <x:v>管道标注与净距补齐；仅允许阻断缺陷修复</x:v>
      </x:c>
      <x:c r="E16" s="86" t="str">
        <x:v>项目组</x:v>
      </x:c>
      <x:c r="F16" s="86" t="str">
        <x:v>P0</x:v>
      </x:c>
      <x:c r="G16" s="75"/>
      <x:c r="H16" s="75"/>
    </x:row>
    <x:row r="17">
      <x:c r="A17" s="86" t="str">
        <x:v>M4</x:v>
      </x:c>
      <x:c r="B17" s="86" t="str">
        <x:v>UAT 通过</x:v>
      </x:c>
      <x:c r="C17" s="87" t="n">
        <x:v>46241.166666666664</x:v>
      </x:c>
      <x:c r="D17" s="86" t="str">
        <x:v>真实样例、PMS 多角色流程、性能与回归矩阵无新增失败</x:v>
      </x:c>
      <x:c r="E17" s="86" t="str">
        <x:v>QA/联调</x:v>
      </x:c>
      <x:c r="F17" s="86" t="str">
        <x:v>P0</x:v>
      </x:c>
      <x:c r="G17" s="75"/>
      <x:c r="H17" s="75"/>
    </x:row>
    <x:row r="18">
      <x:c r="A18" s="86" t="str">
        <x:v>M5</x:v>
      </x:c>
      <x:c r="B18" s="86" t="str">
        <x:v>发布截止</x:v>
      </x:c>
      <x:c r="C18" s="87" t="n">
        <x:v>46244.166666666664</x:v>
      </x:c>
      <x:c r="D18" s="86" t="str">
        <x:v>发布包、回滚方案、验收记录齐全并完成签字</x:v>
      </x:c>
      <x:c r="E18" s="86" t="str">
        <x:v>项目组</x:v>
      </x:c>
      <x:c r="F18" s="86" t="str">
        <x:v>P0</x:v>
      </x:c>
      <x:c r="G18" s="75"/>
      <x:c r="H18" s="75"/>
    </x:row>
    <x:row r="19">
      <x:c r="A19" s="75"/>
      <x:c r="B19" s="75"/>
      <x:c r="C19" s="75"/>
      <x:c r="D19" s="75"/>
      <x:c r="E19" s="75"/>
      <x:c r="F19" s="75"/>
      <x:c r="G19" s="75"/>
      <x:c r="H19" s="75"/>
    </x:row>
    <x:row r="20">
      <x:c r="A20" s="82" t="str">
        <x:v>排期假设与范围边界</x:v>
      </x:c>
      <x:c r="B20" s="82" t="str">
        <x:v>排期假设与范围边界</x:v>
      </x:c>
      <x:c r="C20" s="82" t="str">
        <x:v>排期假设与范围边界</x:v>
      </x:c>
      <x:c r="D20" s="82" t="str">
        <x:v>排期假设与范围边界</x:v>
      </x:c>
      <x:c r="E20" s="82" t="str">
        <x:v>排期假设与范围边界</x:v>
      </x:c>
      <x:c r="F20" s="82" t="str">
        <x:v>排期假设与范围边界</x:v>
      </x:c>
      <x:c r="G20" s="82" t="str">
        <x:v>排期假设与范围边界</x:v>
      </x:c>
      <x:c r="H20" s="82" t="str">
        <x:v>排期假设与范围边界</x:v>
      </x:c>
    </x:row>
    <x:row r="21" ht="38" customHeight="1">
      <x:c r="A21" s="88" t="str">
        <x:v>资源假设</x:v>
      </x:c>
      <x:c r="B21" s="84" t="str">
        <x:v>2 名后端/Rust、2 名前端/3D、1 名校审前端、1 名 QA/联调；产品/架构 0.5 人并行。若少于此配置，优先保障 P0，P1 美化后移。</x:v>
      </x:c>
      <x:c r="C21" s="84" t="str">
        <x:v>2 名后端/Rust、2 名前端/3D、1 名校审前端、1 名 QA/联调；产品/架构 0.5 人并行。若少于此配置，优先保障 P0，P1 美化后移。</x:v>
      </x:c>
      <x:c r="D21" s="84" t="str">
        <x:v>2 名后端/Rust、2 名前端/3D、1 名校审前端、1 名 QA/联调；产品/架构 0.5 人并行。若少于此配置，优先保障 P0，P1 美化后移。</x:v>
      </x:c>
      <x:c r="E21" s="84" t="str">
        <x:v>2 名后端/Rust、2 名前端/3D、1 名校审前端、1 名 QA/联调；产品/架构 0.5 人并行。若少于此配置，优先保障 P0，P1 美化后移。</x:v>
      </x:c>
      <x:c r="F21" s="84" t="str">
        <x:v>2 名后端/Rust、2 名前端/3D、1 名校审前端、1 名 QA/联调；产品/架构 0.5 人并行。若少于此配置，优先保障 P0，P1 美化后移。</x:v>
      </x:c>
      <x:c r="G21" s="84" t="str">
        <x:v>2 名后端/Rust、2 名前端/3D、1 名校审前端、1 名 QA/联调；产品/架构 0.5 人并行。若少于此配置，优先保障 P0，P1 美化后移。</x:v>
      </x:c>
      <x:c r="H21" s="84" t="str">
        <x:v>2 名后端/Rust、2 名前端/3D、1 名校审前端、1 名 QA/联调；产品/架构 0.5 人并行。若少于此配置，优先保障 P0，P1 美化后移。</x:v>
      </x:c>
    </x:row>
    <x:row r="22" ht="38" customHeight="1">
      <x:c r="A22" s="89" t="str">
        <x:v>日历假设</x:v>
      </x:c>
      <x:c r="B22" s="86" t="str">
        <x:v>7月14日进入开发；仅按工作日排期；8月3日开始集成收口，8月4日功能冻结，8月10日发布。</x:v>
      </x:c>
      <x:c r="C22" s="86" t="str">
        <x:v>7月14日进入开发；仅按工作日排期；8月3日开始集成收口，8月4日功能冻结，8月10日发布。</x:v>
      </x:c>
      <x:c r="D22" s="86" t="str">
        <x:v>7月14日进入开发；仅按工作日排期；8月3日开始集成收口，8月4日功能冻结，8月10日发布。</x:v>
      </x:c>
      <x:c r="E22" s="86" t="str">
        <x:v>7月14日进入开发；仅按工作日排期；8月3日开始集成收口，8月4日功能冻结，8月10日发布。</x:v>
      </x:c>
      <x:c r="F22" s="86" t="str">
        <x:v>7月14日进入开发；仅按工作日排期；8月3日开始集成收口，8月4日功能冻结，8月10日发布。</x:v>
      </x:c>
      <x:c r="G22" s="86" t="str">
        <x:v>7月14日进入开发；仅按工作日排期；8月3日开始集成收口，8月4日功能冻结，8月10日发布。</x:v>
      </x:c>
      <x:c r="H22" s="86" t="str">
        <x:v>7月14日进入开发；仅按工作日排期；8月3日开始集成收口，8月4日功能冻结，8月10日发布。</x:v>
      </x:c>
    </x:row>
    <x:row r="23" ht="38" customHeight="1">
      <x:c r="A23" s="89" t="str">
        <x:v>版本样例</x:v>
      </x:c>
      <x:c r="B23" s="86" t="str">
        <x:v>第一天必须统一 AMS DB1112 的权威版本对；当前增量 demo 为 896→897，版本面板代码默认 791→897，不能并存。</x:v>
      </x:c>
      <x:c r="C23" s="86" t="str">
        <x:v>第一天必须统一 AMS DB1112 的权威版本对；当前增量 demo 为 896→897，版本面板代码默认 791→897，不能并存。</x:v>
      </x:c>
      <x:c r="D23" s="86" t="str">
        <x:v>第一天必须统一 AMS DB1112 的权威版本对；当前增量 demo 为 896→897，版本面板代码默认 791→897，不能并存。</x:v>
      </x:c>
      <x:c r="E23" s="86" t="str">
        <x:v>第一天必须统一 AMS DB1112 的权威版本对；当前增量 demo 为 896→897，版本面板代码默认 791→897，不能并存。</x:v>
      </x:c>
      <x:c r="F23" s="86" t="str">
        <x:v>第一天必须统一 AMS DB1112 的权威版本对；当前增量 demo 为 896→897，版本面板代码默认 791→897，不能并存。</x:v>
      </x:c>
      <x:c r="G23" s="86" t="str">
        <x:v>第一天必须统一 AMS DB1112 的权威版本对；当前增量 demo 为 896→897，版本面板代码默认 791→897，不能并存。</x:v>
      </x:c>
      <x:c r="H23" s="86" t="str">
        <x:v>第一天必须统一 AMS DB1112 的权威版本对；当前增量 demo 为 896→897，版本面板代码默认 791→897，不能并存。</x:v>
      </x:c>
    </x:row>
    <x:row r="24" ht="38" customHeight="1">
      <x:c r="A24" s="89" t="str">
        <x:v>真实验收数据</x:v>
      </x:c>
      <x:c r="B24" s="86" t="str">
        <x:v>三维校审/测量/PMS 默认使用 BRAN 24381_145018；版本对照使用统一后的 AMS DB1112 release。</x:v>
      </x:c>
      <x:c r="C24" s="86" t="str">
        <x:v>三维校审/测量/PMS 默认使用 BRAN 24381_145018；版本对照使用统一后的 AMS DB1112 release。</x:v>
      </x:c>
      <x:c r="D24" s="86" t="str">
        <x:v>三维校审/测量/PMS 默认使用 BRAN 24381_145018；版本对照使用统一后的 AMS DB1112 release。</x:v>
      </x:c>
      <x:c r="E24" s="86" t="str">
        <x:v>三维校审/测量/PMS 默认使用 BRAN 24381_145018；版本对照使用统一后的 AMS DB1112 release。</x:v>
      </x:c>
      <x:c r="F24" s="86" t="str">
        <x:v>三维校审/测量/PMS 默认使用 BRAN 24381_145018；版本对照使用统一后的 AMS DB1112 release。</x:v>
      </x:c>
      <x:c r="G24" s="86" t="str">
        <x:v>三维校审/测量/PMS 默认使用 BRAN 24381_145018；版本对照使用统一后的 AMS DB1112 release。</x:v>
      </x:c>
      <x:c r="H24" s="86" t="str">
        <x:v>三维校审/测量/PMS 默认使用 BRAN 24381_145018；版本对照使用统一后的 AMS DB1112 release。</x:v>
      </x:c>
    </x:row>
    <x:row r="25" ht="38" customHeight="1">
      <x:c r="A25" s="89" t="str">
        <x:v>最小实现原则</x:v>
      </x:c>
      <x:c r="B25" s="86" t="str">
        <x:v>复用现有 DTX、DuckLake release API、空间查询、测量状态机、pdfjs-dist、mammoth；不新增渲染器和文档依赖。</x:v>
      </x:c>
      <x:c r="C25" s="86" t="str">
        <x:v>复用现有 DTX、DuckLake release API、空间查询、测量状态机、pdfjs-dist、mammoth；不新增渲染器和文档依赖。</x:v>
      </x:c>
      <x:c r="D25" s="86" t="str">
        <x:v>复用现有 DTX、DuckLake release API、空间查询、测量状态机、pdfjs-dist、mammoth；不新增渲染器和文档依赖。</x:v>
      </x:c>
      <x:c r="E25" s="86" t="str">
        <x:v>复用现有 DTX、DuckLake release API、空间查询、测量状态机、pdfjs-dist、mammoth；不新增渲染器和文档依赖。</x:v>
      </x:c>
      <x:c r="F25" s="86" t="str">
        <x:v>复用现有 DTX、DuckLake release API、空间查询、测量状态机、pdfjs-dist、mammoth；不新增渲染器和文档依赖。</x:v>
      </x:c>
      <x:c r="G25" s="86" t="str">
        <x:v>复用现有 DTX、DuckLake release API、空间查询、测量状态机、pdfjs-dist、mammoth；不新增渲染器和文档依赖。</x:v>
      </x:c>
      <x:c r="H25" s="86" t="str">
        <x:v>复用现有 DTX、DuckLake release API、空间查询、测量状态机、pdfjs-dist、mammoth；不新增渲染器和文档依赖。</x:v>
      </x:c>
    </x:row>
    <x:row r="26" ht="38" customHeight="1">
      <x:c r="A26" s="89" t="str">
        <x:v>明确不做</x:v>
      </x:c>
      <x:c r="B26" s="86" t="str">
        <x:v>8月10日前不新增 PE/ATT history HTTP API；遵循 Spec 022 仅交付 CLI。增量 release 继续显式注册，不改为自动发布。</x:v>
      </x:c>
      <x:c r="C26" s="86" t="str">
        <x:v>8月10日前不新增 PE/ATT history HTTP API；遵循 Spec 022 仅交付 CLI。增量 release 继续显式注册，不改为自动发布。</x:v>
      </x:c>
      <x:c r="D26" s="86" t="str">
        <x:v>8月10日前不新增 PE/ATT history HTTP API；遵循 Spec 022 仅交付 CLI。增量 release 继续显式注册，不改为自动发布。</x:v>
      </x:c>
      <x:c r="E26" s="86" t="str">
        <x:v>8月10日前不新增 PE/ATT history HTTP API；遵循 Spec 022 仅交付 CLI。增量 release 继续显式注册，不改为自动发布。</x:v>
      </x:c>
      <x:c r="F26" s="86" t="str">
        <x:v>8月10日前不新增 PE/ATT history HTTP API；遵循 Spec 022 仅交付 CLI。增量 release 继续显式注册，不改为自动发布。</x:v>
      </x:c>
      <x:c r="G26" s="86" t="str">
        <x:v>8月10日前不新增 PE/ATT history HTTP API；遵循 Spec 022 仅交付 CLI。增量 release 继续显式注册，不改为自动发布。</x:v>
      </x:c>
      <x:c r="H26" s="86" t="str">
        <x:v>8月10日前不新增 PE/ATT history HTTP API；遵循 Spec 022 仅交付 CLI。增量 release 继续显式注册，不改为自动发布。</x:v>
      </x:c>
    </x:row>
    <x:row r="27" ht="38" customHeight="1">
      <x:c r="A27" s="89" t="str">
        <x:v>图片边界</x:v>
      </x:c>
      <x:c r="B27" s="86" t="str">
        <x:v>图片顶部存在被裁切的上一行文字，无法可靠识别；本计划仅覆盖画面中完整可读的 12 项。</x:v>
      </x:c>
      <x:c r="C27" s="86" t="str">
        <x:v>图片顶部存在被裁切的上一行文字，无法可靠识别；本计划仅覆盖画面中完整可读的 12 项。</x:v>
      </x:c>
      <x:c r="D27" s="86" t="str">
        <x:v>图片顶部存在被裁切的上一行文字，无法可靠识别；本计划仅覆盖画面中完整可读的 12 项。</x:v>
      </x:c>
      <x:c r="E27" s="86" t="str">
        <x:v>图片顶部存在被裁切的上一行文字，无法可靠识别；本计划仅覆盖画面中完整可读的 12 项。</x:v>
      </x:c>
      <x:c r="F27" s="86" t="str">
        <x:v>图片顶部存在被裁切的上一行文字，无法可靠识别；本计划仅覆盖画面中完整可读的 12 项。</x:v>
      </x:c>
      <x:c r="G27" s="86" t="str">
        <x:v>图片顶部存在被裁切的上一行文字，无法可靠识别；本计划仅覆盖画面中完整可读的 12 项。</x:v>
      </x:c>
      <x:c r="H27" s="86" t="str">
        <x:v>图片顶部存在被裁切的上一行文字，无法可靠识别；本计划仅覆盖画面中完整可读的 12 项。</x:v>
      </x:c>
    </x:row>
    <x:row r="28">
      <x:c r="A28" s="75"/>
      <x:c r="B28" s="75"/>
      <x:c r="C28" s="75"/>
      <x:c r="D28" s="75"/>
      <x:c r="E28" s="75"/>
      <x:c r="F28" s="75"/>
      <x:c r="G28" s="75"/>
      <x:c r="H28" s="75"/>
    </x:row>
    <x:row r="29">
      <x:c r="A29" s="90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B29" s="91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C29" s="91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D29" s="91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E29" s="91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F29" s="91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G29" s="91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H29" s="92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</x:row>
    <x:row r="30">
      <x:c r="A30" s="93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B30" s="94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C30" s="94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D30" s="94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E30" s="94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F30" s="94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G30" s="94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H30" s="95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</x:row>
    <x:row r="31">
      <x:c r="A31" s="96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B31" s="97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C31" s="97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D31" s="97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E31" s="97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F31" s="97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G31" s="97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  <x:c r="H31" s="98" t="str">
        <x:v>关键路径：先锁定现有脏工作树与权威版本样例 → 完成 sesno 锚点/history CLI 和 release/diff 契约 → 收口真实 DTX 版本对比 → 补齐自动截图、附件预览、范围裁剪与最近点精算 → 8月3日起只做集成、PMS 联调和阻断缺陷修复。</x:v>
      </x:c>
    </x:row>
  </x:sheetData>
  <x:mergeCells>
    <x:mergeCell ref="A1:H1"/>
    <x:mergeCell ref="A2:H2"/>
    <x:mergeCell ref="A11:H11"/>
    <x:mergeCell ref="A20:H20"/>
    <x:mergeCell ref="B21:H21"/>
    <x:mergeCell ref="B22:H22"/>
    <x:mergeCell ref="B23:H23"/>
    <x:mergeCell ref="B24:H24"/>
    <x:mergeCell ref="B25:H25"/>
    <x:mergeCell ref="B26:H26"/>
    <x:mergeCell ref="B27:H27"/>
    <x:mergeCell ref="A29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0" hidden="0" customWidth="1"/>
    <x:col min="3" max="3" width="34" hidden="0" customWidth="1"/>
    <x:col min="4" max="4" width="12" hidden="0" customWidth="1"/>
    <x:col min="5" max="5" width="11" hidden="0" customWidth="1"/>
    <x:col min="6" max="6" width="38" hidden="0" customWidth="1"/>
    <x:col min="7" max="7" width="36" hidden="0" customWidth="1"/>
    <x:col min="8" max="8" width="38" hidden="0" customWidth="1"/>
    <x:col min="9" max="9" width="9" hidden="0" customWidth="1"/>
    <x:col min="10" max="10" width="34" hidden="0" customWidth="1"/>
    <x:col min="11" max="11" width="14" hidden="0" customWidth="1"/>
    <x:col min="12" max="12" width="22" hidden="0" customWidth="1"/>
  </x:cols>
  <x:sheetData>
    <x:row r="1" ht="32" customHeight="1">
      <x:c r="A1" s="73" t="str">
        <x:v>功能盘点与 8 月 10 日目标</x:v>
      </x:c>
      <x:c r="B1" s="73" t="str">
        <x:v>功能盘点与 8 月 10 日目标</x:v>
      </x:c>
      <x:c r="C1" s="73" t="str">
        <x:v>功能盘点与 8 月 10 日目标</x:v>
      </x:c>
      <x:c r="D1" s="73" t="str">
        <x:v>功能盘点与 8 月 10 日目标</x:v>
      </x:c>
      <x:c r="E1" s="73" t="str">
        <x:v>功能盘点与 8 月 10 日目标</x:v>
      </x:c>
      <x:c r="F1" s="73" t="str">
        <x:v>功能盘点与 8 月 10 日目标</x:v>
      </x:c>
      <x:c r="G1" s="73" t="str">
        <x:v>功能盘点与 8 月 10 日目标</x:v>
      </x:c>
      <x:c r="H1" s="73" t="str">
        <x:v>功能盘点与 8 月 10 日目标</x:v>
      </x:c>
      <x:c r="I1" s="73" t="str">
        <x:v>功能盘点与 8 月 10 日目标</x:v>
      </x:c>
      <x:c r="J1" s="73" t="str">
        <x:v>功能盘点与 8 月 10 日目标</x:v>
      </x:c>
      <x:c r="K1" s="73" t="str">
        <x:v>功能盘点与 8 月 10 日目标</x:v>
      </x:c>
      <x:c r="L1" s="73" t="str">
        <x:v>功能盘点与 8 月 10 日目标</x:v>
      </x:c>
    </x:row>
    <x:row r="2" ht="28" customHeight="1">
      <x:c r="A2" s="74" t="str">
        <x:v>现状以当前工作树和后端代码为准；“已具备”仍须进入真实数据与 PMS 回归，不代表无需工作。</x:v>
      </x:c>
      <x:c r="B2" s="74" t="str">
        <x:v>现状以当前工作树和后端代码为准；“已具备”仍须进入真实数据与 PMS 回归，不代表无需工作。</x:v>
      </x:c>
      <x:c r="C2" s="74" t="str">
        <x:v>现状以当前工作树和后端代码为准；“已具备”仍须进入真实数据与 PMS 回归，不代表无需工作。</x:v>
      </x:c>
      <x:c r="D2" s="74" t="str">
        <x:v>现状以当前工作树和后端代码为准；“已具备”仍须进入真实数据与 PMS 回归，不代表无需工作。</x:v>
      </x:c>
      <x:c r="E2" s="74" t="str">
        <x:v>现状以当前工作树和后端代码为准；“已具备”仍须进入真实数据与 PMS 回归，不代表无需工作。</x:v>
      </x:c>
      <x:c r="F2" s="74" t="str">
        <x:v>现状以当前工作树和后端代码为准；“已具备”仍须进入真实数据与 PMS 回归，不代表无需工作。</x:v>
      </x:c>
      <x:c r="G2" s="74" t="str">
        <x:v>现状以当前工作树和后端代码为准；“已具备”仍须进入真实数据与 PMS 回归，不代表无需工作。</x:v>
      </x:c>
      <x:c r="H2" s="74" t="str">
        <x:v>现状以当前工作树和后端代码为准；“已具备”仍须进入真实数据与 PMS 回归，不代表无需工作。</x:v>
      </x:c>
      <x:c r="I2" s="74" t="str">
        <x:v>现状以当前工作树和后端代码为准；“已具备”仍须进入真实数据与 PMS 回归，不代表无需工作。</x:v>
      </x:c>
      <x:c r="J2" s="74" t="str">
        <x:v>现状以当前工作树和后端代码为准；“已具备”仍须进入真实数据与 PMS 回归，不代表无需工作。</x:v>
      </x:c>
      <x:c r="K2" s="74" t="str">
        <x:v>现状以当前工作树和后端代码为准；“已具备”仍须进入真实数据与 PMS 回归，不代表无需工作。</x:v>
      </x:c>
      <x:c r="L2" s="74" t="str">
        <x:v>现状以当前工作树和后端代码为准；“已具备”仍须进入真实数据与 PMS 回归，不代表无需工作。</x:v>
      </x:c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</x:row>
    <x:row r="4" ht="28" customHeight="1">
      <x:c r="A4" s="83" t="str">
        <x:v>序号</x:v>
      </x:c>
      <x:c r="B4" s="83" t="str">
        <x:v>图片功能</x:v>
      </x:c>
      <x:c r="C4" s="83" t="str">
        <x:v>需求说明</x:v>
      </x:c>
      <x:c r="D4" s="83" t="str">
        <x:v>现状</x:v>
      </x:c>
      <x:c r="E4" s="83" t="str">
        <x:v>完成度%</x:v>
      </x:c>
      <x:c r="F4" s="83" t="str">
        <x:v>当前证据</x:v>
      </x:c>
      <x:c r="G4" s="83" t="str">
        <x:v>主要缺口</x:v>
      </x:c>
      <x:c r="H4" s="83" t="str">
        <x:v>8/10 目标</x:v>
      </x:c>
      <x:c r="I4" s="83" t="str">
        <x:v>优先级</x:v>
      </x:c>
      <x:c r="J4" s="83" t="str">
        <x:v>最小复用方案</x:v>
      </x:c>
      <x:c r="K4" s="83" t="str">
        <x:v>工作流</x:v>
      </x:c>
      <x:c r="L4" s="83" t="str">
        <x:v>验收样例</x:v>
      </x:c>
    </x:row>
    <x:row r="5" ht="72" customHeight="1">
      <x:c r="A5" s="84" t="n">
        <x:v>1</x:v>
      </x:c>
      <x:c r="B5" s="84" t="str">
        <x:v>云线和元素绑定</x:v>
      </x:c>
      <x:c r="C5" s="84" t="str">
        <x:v>选择目标模型后绘制云线，云线关联目标构件并可定位/高亮</x:v>
      </x:c>
      <x:c r="D5" s="84" t="str">
        <x:v>已具备</x:v>
      </x:c>
      <x:c r="E5" s="101" t="n">
        <x:v>0.9</x:v>
      </x:c>
      <x:c r="F5" s="84" t="str">
        <x:v>AnnotationPanel.vue；useDtxTools.ts；useToolStore.ts</x:v>
      </x:c>
      <x:c r="G5" s="84" t="str">
        <x:v>需要在 PMS 快照/恢复链路做最终一致性验收</x:v>
      </x:c>
      <x:c r="H5" s="84" t="str">
        <x:v>绑定字段统一为 refnos；刷新/跨角色后仍可定位与高亮</x:v>
      </x:c>
      <x:c r="I5" s="84" t="str">
        <x:v>P0</x:v>
      </x:c>
      <x:c r="J5" s="84" t="str">
        <x:v>复用现有批注模型与 getAnnotationRefnos</x:v>
      </x:c>
      <x:c r="K5" s="84" t="str">
        <x:v>校审批注</x:v>
      </x:c>
      <x:c r="L5" s="84" t="str">
        <x:v>BRAN 24381_145018</x:v>
      </x:c>
    </x:row>
    <x:row r="6" ht="72" customHeight="1">
      <x:c r="A6" s="86" t="n">
        <x:v>2</x:v>
      </x:c>
      <x:c r="B6" s="86" t="str">
        <x:v>自动截屏</x:v>
      </x:c>
      <x:c r="C6" s="86" t="str">
        <x:v>云线绘制命令结束即自动截屏并生成图片信息</x:v>
      </x:c>
      <x:c r="D6" s="86" t="str">
        <x:v>部分具备</x:v>
      </x:c>
      <x:c r="E6" s="102" t="n">
        <x:v>0.6</x:v>
      </x:c>
      <x:c r="F6" s="86" t="str">
        <x:v>useScreenshot.ts；AnnotationPanel.vue 已支持手动添加/重拍</x:v>
      </x:c>
      <x:c r="G6" s="86" t="str">
        <x:v>当前是手动触发；自动触发、失败重试与防重入未闭环</x:v>
      </x:c>
      <x:c r="H6" s="86" t="str">
        <x:v>绘制完成自动上传；失败可重试；双胞胎面板显示一致</x:v>
      </x:c>
      <x:c r="I6" s="86" t="str">
        <x:v>P0</x:v>
      </x:c>
      <x:c r="J6" s="86" t="str">
        <x:v>复用 captureAndUpload 与附件清理逻辑</x:v>
      </x:c>
      <x:c r="K6" s="86" t="str">
        <x:v>校审批注</x:v>
      </x:c>
      <x:c r="L6" s="86" t="str">
        <x:v>云线创建/重拍/删除</x:v>
      </x:c>
    </x:row>
    <x:row r="7" ht="72" customHeight="1">
      <x:c r="A7" s="86" t="n">
        <x:v>3</x:v>
      </x:c>
      <x:c r="B7" s="86" t="str">
        <x:v>显示指定距离模型</x:v>
      </x:c>
      <x:c r="C7" s="86" t="str">
        <x:v>选择模型后仅显示指定距离内模型；跨边界管道按范围切断</x:v>
      </x:c>
      <x:c r="D7" s="86" t="str">
        <x:v>部分具备</x:v>
      </x:c>
      <x:c r="E7" s="102" t="n">
        <x:v>0.5</x:v>
      </x:c>
      <x:c r="F7" s="86" t="str">
        <x:v>useSpatialQuery.ts；SpatialQueryDrawer.vue 已有 nearby + 隔离结果</x:v>
      </x:c>
      <x:c r="G7" s="86" t="str">
        <x:v>尚缺一键按选中构件执行，以及管道跨边界的几何裁剪</x:v>
      </x:c>
      <x:c r="H7" s="86" t="str">
        <x:v>支持半径查询、隔离/恢复；管道在球/盒边界正确裁剪</x:v>
      </x:c>
      <x:c r="I7" s="86" t="str">
        <x:v>P1</x:v>
      </x:c>
      <x:c r="J7" s="86" t="str">
        <x:v>复用空间查询与 sceneGraph isolate；补 DTX clipping</x:v>
      </x:c>
      <x:c r="K7" s="86" t="str">
        <x:v>空间隔离</x:v>
      </x:c>
      <x:c r="L7" s="86" t="str">
        <x:v>半径 5m/10m 两档</x:v>
      </x:c>
    </x:row>
    <x:row r="8" ht="72" customHeight="1">
      <x:c r="A8" s="86" t="n">
        <x:v>4</x:v>
      </x:c>
      <x:c r="B8" s="86" t="str">
        <x:v>多版本对照管理</x:v>
      </x:c>
      <x:c r="C8" s="86" t="str">
        <x:v>对多次提交的校审模型查看位置/属性/构件差异</x:v>
      </x:c>
      <x:c r="D8" s="86" t="str">
        <x:v>部分具备</x:v>
      </x:c>
      <x:c r="E8" s="102" t="n">
        <x:v>0.65</x:v>
      </x:c>
      <x:c r="F8" s="86" t="str">
        <x:v>IncrementalUpdatePanel.vue；ModelVersionComparePanel.vue；ViewerPanel.vue；后端 model_version_api.rs</x:v>
      </x:c>
      <x:c r="G8" s="86" t="str">
        <x:v>当前工作树大量未提交；演示 896→897 与代码 791→897 不一致；生产 release 质量门禁待收口</x:v>
      </x:c>
      <x:c r="H8" s="86" t="str">
        <x:v>从 release 列表选择版本；真实 DTX 双版本对照；新增/删除/修改与来源可审计</x:v>
      </x:c>
      <x:c r="I8" s="86" t="str">
        <x:v>P0</x:v>
      </x:c>
      <x:c r="J8" s="86" t="str">
        <x:v>复用 DuckLake release API 与 release-local DTX loader</x:v>
      </x:c>
      <x:c r="K8" s="86" t="str">
        <x:v>版本管理</x:v>
      </x:c>
      <x:c r="L8" s="86" t="str">
        <x:v>AMS DB1112 统一版本对</x:v>
      </x:c>
    </x:row>
    <x:row r="9" ht="72" customHeight="1">
      <x:c r="A9" s="86" t="n">
        <x:v>5</x:v>
      </x:c>
      <x:c r="B9" s="86" t="str">
        <x:v>E3D 模型高亮</x:v>
      </x:c>
      <x:c r="C9" s="86" t="str">
        <x:v>模型中心选中构件后在三维中高亮并可定位</x:v>
      </x:c>
      <x:c r="D9" s="86" t="str">
        <x:v>已具备</x:v>
      </x:c>
      <x:c r="E9" s="102" t="n">
        <x:v>0.85</x:v>
      </x:c>
      <x:c r="F9" s="86" t="str">
        <x:v>DTXOverlayHighlighter.ts；AnnotationPanel.vue 高亮入口</x:v>
      </x:c>
      <x:c r="G9" s="86" t="str">
        <x:v>不同入口的选中、定位、清除行为需一致</x:v>
      </x:c>
      <x:c r="H9" s="86" t="str">
        <x:v>模型树/批注/版本对比共用同一选中状态与高亮效果</x:v>
      </x:c>
      <x:c r="I9" s="86" t="str">
        <x:v>P1</x:v>
      </x:c>
      <x:c r="J9" s="86" t="str">
        <x:v>复用 selectionStore 与 DTX overlay</x:v>
      </x:c>
      <x:c r="K9" s="86" t="str">
        <x:v>三维交互</x:v>
      </x:c>
      <x:c r="L9" s="86" t="str">
        <x:v>模型树与批注往返</x:v>
      </x:c>
    </x:row>
    <x:row r="10" ht="72" customHeight="1">
      <x:c r="A10" s="86" t="n">
        <x:v>6</x:v>
      </x:c>
      <x:c r="B10" s="86" t="str">
        <x:v>PDF/WORD 文件展示</x:v>
      </x:c>
      <x:c r="C10" s="86" t="str">
        <x:v>校审时查看与模型构件关联的 PDF、Word 文件</x:v>
      </x:c>
      <x:c r="D10" s="86" t="str">
        <x:v>部分具备</x:v>
      </x:c>
      <x:c r="E10" s="102" t="n">
        <x:v>0.35</x:v>
      </x:c>
      <x:c r="F10" s="86" t="str">
        <x:v>AssociatedFilesList.vue 当前仅列表/下载；package 已安装 pdfjs-dist、mammoth</x:v>
      </x:c>
      <x:c r="G10" s="86" t="str">
        <x:v>“打开”按钮无处理；缺预览器、安全降级和构件关联过滤</x:v>
      </x:c>
      <x:c r="H10" s="86" t="str">
        <x:v>PDF 内嵌预览；DOCX 转 HTML 预览；失败时安全下载</x:v>
      </x:c>
      <x:c r="I10" s="86" t="str">
        <x:v>P0</x:v>
      </x:c>
      <x:c r="J10" s="86" t="str">
        <x:v>复用已安装 pdfjs-dist 与 mammoth，不新增依赖</x:v>
      </x:c>
      <x:c r="K10" s="86" t="str">
        <x:v>校审附件</x:v>
      </x:c>
      <x:c r="L10" s="86" t="str">
        <x:v>样例 PDF + DOCX</x:v>
      </x:c>
    </x:row>
    <x:row r="11" ht="72" customHeight="1">
      <x:c r="A11" s="86" t="n">
        <x:v>7</x:v>
      </x:c>
      <x:c r="B11" s="86" t="str">
        <x:v>元素关键点获取</x:v>
      </x:c>
      <x:c r="C11" s="86" t="str">
        <x:v>在三维界面获取元素 PointSet/P-Point 关键点</x:v>
      </x:c>
      <x:c r="D11" s="86" t="str">
        <x:v>已具备</x:v>
      </x:c>
      <x:c r="E11" s="102" t="n">
        <x:v>0.85</x:v>
      </x:c>
      <x:c r="F11" s="86" t="str">
        <x:v>usePtsetRuntimeLookup.ts；usePtsetSnap.ts；useMeasurementPickSources.ts</x:v>
      </x:c>
      <x:c r="G11" s="86" t="str">
        <x:v>需覆盖 Parquet 缺失时运行态兜底与加载中禁止误选</x:v>
      </x:c>
      <x:c r="H11" s="86" t="str">
        <x:v>P-Point/Item 原点来源清晰，缺数据有可诊断提示</x:v>
      </x:c>
      <x:c r="I11" s="86" t="str">
        <x:v>P0</x:v>
      </x:c>
      <x:c r="J11" s="86" t="str">
        <x:v>复用现有 P-Point runtime/parquet 双路径</x:v>
      </x:c>
      <x:c r="K11" s="86" t="str">
        <x:v>测量</x:v>
      </x:c>
      <x:c r="L11" s="86" t="str">
        <x:v>BRAN 24381_145018</x:v>
      </x:c>
    </x:row>
    <x:row r="12" ht="72" customHeight="1">
      <x:c r="A12" s="86" t="n">
        <x:v>8</x:v>
      </x:c>
      <x:c r="B12" s="86" t="str">
        <x:v>关键点测量</x:v>
      </x:c>
      <x:c r="C12" s="86" t="str">
        <x:v>两关键点进行距离、角度、标高测量</x:v>
      </x:c>
      <x:c r="D12" s="86" t="str">
        <x:v>已具备</x:v>
      </x:c>
      <x:c r="E12" s="102" t="n">
        <x:v>0.85</x:v>
      </x:c>
      <x:c r="F12" s="86" t="str">
        <x:v>useXeokitMeasurementTools.ts；XeokitDistance/Angle/ElevationMeasurement</x:v>
      </x:c>
      <x:c r="G12" s="86" t="str">
        <x:v>连续测量、来源提示和工程坐标精度需最终验收</x:v>
      </x:c>
      <x:c r="H12" s="86" t="str">
        <x:v>距离/角度/标高可连续操作，记录可定位/隐藏/删除</x:v>
      </x:c>
      <x:c r="I12" s="86" t="str">
        <x:v>P0</x:v>
      </x:c>
      <x:c r="J12" s="86" t="str">
        <x:v>复用统一测量状态机</x:v>
      </x:c>
      <x:c r="K12" s="86" t="str">
        <x:v>测量</x:v>
      </x:c>
      <x:c r="L12" s="86" t="str">
        <x:v>P-Point 两点/三点</x:v>
      </x:c>
    </x:row>
    <x:row r="13" ht="72" customHeight="1">
      <x:c r="A13" s="86" t="n">
        <x:v>9</x:v>
      </x:c>
      <x:c r="B13" s="86" t="str">
        <x:v>元素最近距离测量</x:v>
      </x:c>
      <x:c r="C13" s="86" t="str">
        <x:v>选择两个元素自动找最近点并测量</x:v>
      </x:c>
      <x:c r="D13" s="86" t="str">
        <x:v>部分具备</x:v>
      </x:c>
      <x:c r="E13" s="102" t="n">
        <x:v>0.6</x:v>
      </x:c>
      <x:c r="F13" s="86" t="str">
        <x:v>useDtxTools.ts: computeApproxNearestBetweenObjects</x:v>
      </x:c>
      <x:c r="G13" s="86" t="str">
        <x:v>当前近似算法需明确精度、退化场景和大模型性能</x:v>
      </x:c>
      <x:c r="H13" s="86" t="str">
        <x:v>对样例构件给出可复现最近点，误差满足验收阈值</x:v>
      </x:c>
      <x:c r="I13" s="86" t="str">
        <x:v>P1</x:v>
      </x:c>
      <x:c r="J13" s="86" t="str">
        <x:v>先复用现有候选点算法，再补精确窄相位</x:v>
      </x:c>
      <x:c r="K13" s="86" t="str">
        <x:v>测量</x:v>
      </x:c>
      <x:c r="L13" s="86" t="str">
        <x:v>设备-结构/构件-构件</x:v>
      </x:c>
    </x:row>
    <x:row r="14" ht="72" customHeight="1">
      <x:c r="A14" s="86" t="n">
        <x:v>10</x:v>
      </x:c>
      <x:c r="B14" s="86" t="str">
        <x:v>管道-梁板柱墙最近点</x:v>
      </x:c>
      <x:c r="C14" s="86" t="str">
        <x:v>自动生成管道与梁、板、柱、墙的最近点尺寸标注</x:v>
      </x:c>
      <x:c r="D14" s="86" t="str">
        <x:v>部分具备</x:v>
      </x:c>
      <x:c r="E14" s="102" t="n">
        <x:v>0.45</x:v>
      </x:c>
      <x:c r="F14" s="86" t="str">
        <x:v>genModelSpatialApi.ts；MbdStructureClearanceDto；nearest-clearance API</x:v>
      </x:c>
      <x:c r="G14" s="86" t="str">
        <x:v>后端说明仍是 AABB 粗筛，缺网格/管道外包络精算与梁板覆盖</x:v>
      </x:c>
      <x:c r="H14" s="86" t="str">
        <x:v>四类结构均返回真实最近点、净距与可追溯 refno</x:v>
      </x:c>
      <x:c r="I14" s="86" t="str">
        <x:v>P0</x:v>
      </x:c>
      <x:c r="J14" s="86" t="str">
        <x:v>复用空间粗筛，增加窄相位精算与统一标注 DTO</x:v>
      </x:c>
      <x:c r="K14" s="86" t="str">
        <x:v>管道净距</x:v>
      </x:c>
      <x:c r="L14" s="86" t="str">
        <x:v>BRAN 对 beam/slab/column/wall</x:v>
      </x:c>
    </x:row>
    <x:row r="15" ht="72" customHeight="1">
      <x:c r="A15" s="86" t="n">
        <x:v>11</x:v>
      </x:c>
      <x:c r="B15" s="86" t="str">
        <x:v>管道-管道最近点</x:v>
      </x:c>
      <x:c r="C15" s="86" t="str">
        <x:v>自动生成管道与管道最近点尺寸标注</x:v>
      </x:c>
      <x:c r="D15" s="86" t="str">
        <x:v>已具备</x:v>
      </x:c>
      <x:c r="E15" s="102" t="n">
        <x:v>0.8</x:v>
      </x:c>
      <x:c r="F15" s="86" t="str">
        <x:v>pipeClearance.ts；detectPipeClearances.ts；usePipeDistanceAnnotationThree.ts</x:v>
      </x:c>
      <x:c r="G15" s="86" t="str">
        <x:v>需真实多 BRAN 数据、去重、阈值与性能验收</x:v>
      </x:c>
      <x:c r="H15" s="86" t="str">
        <x:v>批量自动检测、去重、阈值可配，标注可隐藏/定位</x:v>
      </x:c>
      <x:c r="I15" s="86" t="str">
        <x:v>P0</x:v>
      </x:c>
      <x:c r="J15" s="86" t="str">
        <x:v>复用现有平行管道净距算法</x:v>
      </x:c>
      <x:c r="K15" s="86" t="str">
        <x:v>管道净距</x:v>
      </x:c>
      <x:c r="L15" s="86" t="str">
        <x:v>多 BRAN 小/大样例</x:v>
      </x:c>
    </x:row>
    <x:row r="16" ht="72" customHeight="1">
      <x:c r="A16" s="86" t="n">
        <x:v>12</x:v>
      </x:c>
      <x:c r="B16" s="86" t="str">
        <x:v>管道标注</x:v>
      </x:c>
      <x:c r="C16" s="86" t="str">
        <x:v>标注位置/标高、结构净距、管间距、直径/长度、材质、包络，并与 ISO 图一致</x:v>
      </x:c>
      <x:c r="D16" s="86" t="str">
        <x:v>部分具备</x:v>
      </x:c>
      <x:c r="E16" s="102" t="n">
        <x:v>0.65</x:v>
      </x:c>
      <x:c r="F16" s="86" t="str">
        <x:v>mbdPipeApi.ts；useMbdPipeAnnotationThree.ts；MbdPipePanel.vue</x:v>
      </x:c>
      <x:c r="G16" s="86" t="str">
        <x:v>字段齐全性、单位口径、包络信息和 ISO 一致性尚未系统核对</x:v>
      </x:c>
      <x:c r="H16" s="86" t="str">
        <x:v>字段审计通过；缺失字段补齐；标注布局无重叠且单位一致</x:v>
      </x:c>
      <x:c r="I16" s="86" t="str">
        <x:v>P0</x:v>
      </x:c>
      <x:c r="J16" s="86" t="str">
        <x:v>复用 MBD V2 DTO、现有布局与 material_rows/envelope</x:v>
      </x:c>
      <x:c r="K16" s="86" t="str">
        <x:v>管道标注</x:v>
      </x:c>
      <x:c r="L16" s="86" t="str">
        <x:v>BRAN 24381_145018 + ISO 对照</x:v>
      </x:c>
    </x:row>
  </x:sheetData>
  <x:mergeCells>
    <x:mergeCell ref="A1:L1"/>
    <x:mergeCell ref="A2:L2"/>
  </x:mergeCells>
  <x:conditionalFormatting sqref="D5:D16">
    <x:cfRule type="containsText" dxfId="0" priority="1" operator="containsText" text="已具备"/>
    <x:cfRule type="containsText" dxfId="1" priority="2" operator="containsText" text="部分具备"/>
    <x:cfRule type="containsText" dxfId="2" priority="3" operator="containsText" text="待实现"/>
  </x:conditionalFormatting>
  <x:conditionalFormatting sqref="E5:E16">
    <x:cfRule type="dataBar" priority="4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{7634D231-E6E7-0F30-8E9E-869DE0F4EE18}</x14:id>
        </x:ext>
      </x:extLst>
    </x:cfRule>
  </x:conditionalFormatting>
  <x:dataValidations count="2">
    <x:dataValidation type="list" sqref="D5:D16">
      <x:formula1>"已具备,部分具备,待实现"</x:formula1>
    </x:dataValidation>
    <x:dataValidation type="list" sqref="I5:I16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d33b3ffb6854f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7634D231-E6E7-0F30-8E9E-869DE0F4EE18}">
            <x14:dataBar gradient="1">
              <x14:cfvo type="min"/>
              <x14:cfvo type="max"/>
              <x14:fillColor rgb="FF2F75B5"/>
            </x14:dataBar>
          </x14:cfRule>
          <xm:sqref>E5:E16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4" hidden="0" customWidth="1"/>
    <x:col min="4" max="4" width="18" hidden="0" customWidth="1"/>
    <x:col min="5" max="5" width="42" hidden="0" customWidth="1"/>
    <x:col min="6" max="6" width="28" hidden="0" customWidth="1"/>
    <x:col min="7" max="7" width="14" hidden="0" customWidth="1"/>
    <x:col min="8" max="8" width="12" hidden="0" customWidth="1"/>
    <x:col min="9" max="9" width="12" hidden="0" customWidth="1"/>
    <x:col min="10" max="10" width="10" hidden="0" customWidth="1"/>
    <x:col min="11" max="11" width="11" hidden="0" customWidth="1"/>
    <x:col min="12" max="12" width="15" hidden="0" customWidth="1"/>
    <x:col min="13" max="13" width="9" hidden="0" customWidth="1"/>
    <x:col min="14" max="14" width="11" hidden="0" customWidth="1"/>
    <x:col min="15" max="15" width="26" hidden="0" customWidth="1"/>
    <x:col min="16" max="16" width="40" hidden="0" customWidth="1"/>
  </x:cols>
  <x:sheetData>
    <x:row r="1" ht="32" customHeight="1">
      <x:c r="A1" s="73" t="str">
        <x:v>开发排期（2026-07-14 至 2026-08-10）</x:v>
      </x:c>
      <x:c r="B1" s="73" t="str">
        <x:v>开发排期（2026-07-14 至 2026-08-10）</x:v>
      </x:c>
      <x:c r="C1" s="73" t="str">
        <x:v>开发排期（2026-07-14 至 2026-08-10）</x:v>
      </x:c>
      <x:c r="D1" s="73" t="str">
        <x:v>开发排期（2026-07-14 至 2026-08-10）</x:v>
      </x:c>
      <x:c r="E1" s="73" t="str">
        <x:v>开发排期（2026-07-14 至 2026-08-10）</x:v>
      </x:c>
      <x:c r="F1" s="73" t="str">
        <x:v>开发排期（2026-07-14 至 2026-08-10）</x:v>
      </x:c>
      <x:c r="G1" s="73" t="str">
        <x:v>开发排期（2026-07-14 至 2026-08-10）</x:v>
      </x:c>
      <x:c r="H1" s="73" t="str">
        <x:v>开发排期（2026-07-14 至 2026-08-10）</x:v>
      </x:c>
      <x:c r="I1" s="73" t="str">
        <x:v>开发排期（2026-07-14 至 2026-08-10）</x:v>
      </x:c>
      <x:c r="J1" s="73" t="str">
        <x:v>开发排期（2026-07-14 至 2026-08-10）</x:v>
      </x:c>
      <x:c r="K1" s="73" t="str">
        <x:v>开发排期（2026-07-14 至 2026-08-10）</x:v>
      </x:c>
      <x:c r="L1" s="73" t="str">
        <x:v>开发排期（2026-07-14 至 2026-08-10）</x:v>
      </x:c>
      <x:c r="M1" s="73" t="str">
        <x:v>开发排期（2026-07-14 至 2026-08-10）</x:v>
      </x:c>
      <x:c r="N1" s="73" t="str">
        <x:v>开发排期（2026-07-14 至 2026-08-10）</x:v>
      </x:c>
      <x:c r="O1" s="73" t="str">
        <x:v>开发排期（2026-07-14 至 2026-08-10）</x:v>
      </x:c>
      <x:c r="P1" s="73" t="str">
        <x:v>开发排期（2026-07-14 至 2026-08-10）</x:v>
      </x:c>
    </x:row>
    <x:row r="2" ht="28" customHeight="1">
      <x:c r="A2" s="74" t="str">
        <x:v>任务按依赖排序；工作日由公式计算，人日为主责投入估算；状态可直接维护。</x:v>
      </x:c>
      <x:c r="B2" s="74" t="str">
        <x:v>任务按依赖排序；工作日由公式计算，人日为主责投入估算；状态可直接维护。</x:v>
      </x:c>
      <x:c r="C2" s="74" t="str">
        <x:v>任务按依赖排序；工作日由公式计算，人日为主责投入估算；状态可直接维护。</x:v>
      </x:c>
      <x:c r="D2" s="74" t="str">
        <x:v>任务按依赖排序；工作日由公式计算，人日为主责投入估算；状态可直接维护。</x:v>
      </x:c>
      <x:c r="E2" s="74" t="str">
        <x:v>任务按依赖排序；工作日由公式计算，人日为主责投入估算；状态可直接维护。</x:v>
      </x:c>
      <x:c r="F2" s="74" t="str">
        <x:v>任务按依赖排序；工作日由公式计算，人日为主责投入估算；状态可直接维护。</x:v>
      </x:c>
      <x:c r="G2" s="74" t="str">
        <x:v>任务按依赖排序；工作日由公式计算，人日为主责投入估算；状态可直接维护。</x:v>
      </x:c>
      <x:c r="H2" s="74" t="str">
        <x:v>任务按依赖排序；工作日由公式计算，人日为主责投入估算；状态可直接维护。</x:v>
      </x:c>
      <x:c r="I2" s="74" t="str">
        <x:v>任务按依赖排序；工作日由公式计算，人日为主责投入估算；状态可直接维护。</x:v>
      </x:c>
      <x:c r="J2" s="74" t="str">
        <x:v>任务按依赖排序；工作日由公式计算，人日为主责投入估算；状态可直接维护。</x:v>
      </x:c>
      <x:c r="K2" s="74" t="str">
        <x:v>任务按依赖排序；工作日由公式计算，人日为主责投入估算；状态可直接维护。</x:v>
      </x:c>
      <x:c r="L2" s="74" t="str">
        <x:v>任务按依赖排序；工作日由公式计算，人日为主责投入估算；状态可直接维护。</x:v>
      </x:c>
      <x:c r="M2" s="74" t="str">
        <x:v>任务按依赖排序；工作日由公式计算，人日为主责投入估算；状态可直接维护。</x:v>
      </x:c>
      <x:c r="N2" s="74" t="str">
        <x:v>任务按依赖排序；工作日由公式计算，人日为主责投入估算；状态可直接维护。</x:v>
      </x:c>
      <x:c r="O2" s="74" t="str">
        <x:v>任务按依赖排序；工作日由公式计算，人日为主责投入估算；状态可直接维护。</x:v>
      </x:c>
      <x:c r="P2" s="74" t="str">
        <x:v>任务按依赖排序；工作日由公式计算，人日为主责投入估算；状态可直接维护。</x:v>
      </x:c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</x:row>
    <x:row r="4" ht="28" customHeight="1">
      <x:c r="A4" s="83" t="str">
        <x:v>ID</x:v>
      </x:c>
      <x:c r="B4" s="83" t="str">
        <x:v>阶段</x:v>
      </x:c>
      <x:c r="C4" s="83" t="str">
        <x:v>工作流</x:v>
      </x:c>
      <x:c r="D4" s="83" t="str">
        <x:v>功能项</x:v>
      </x:c>
      <x:c r="E4" s="83" t="str">
        <x:v>任务</x:v>
      </x:c>
      <x:c r="F4" s="83" t="str">
        <x:v>仓库/模块</x:v>
      </x:c>
      <x:c r="G4" s="83" t="str">
        <x:v>主责</x:v>
      </x:c>
      <x:c r="H4" s="83" t="str">
        <x:v>开始</x:v>
      </x:c>
      <x:c r="I4" s="83" t="str">
        <x:v>结束</x:v>
      </x:c>
      <x:c r="J4" s="83" t="str">
        <x:v>工作日</x:v>
      </x:c>
      <x:c r="K4" s="83" t="str">
        <x:v>人日估算</x:v>
      </x:c>
      <x:c r="L4" s="83" t="str">
        <x:v>前置</x:v>
      </x:c>
      <x:c r="M4" s="83" t="str">
        <x:v>优先级</x:v>
      </x:c>
      <x:c r="N4" s="83" t="str">
        <x:v>状态</x:v>
      </x:c>
      <x:c r="O4" s="83" t="str">
        <x:v>交付物</x:v>
      </x:c>
      <x:c r="P4" s="83" t="str">
        <x:v>验收标准</x:v>
      </x:c>
    </x:row>
    <x:row r="5" ht="58" customHeight="1">
      <x:c r="A5" s="84" t="str">
        <x:v>T01</x:v>
      </x:c>
      <x:c r="B5" s="84" t="str">
        <x:v>阶段0 基线</x:v>
      </x:c>
      <x:c r="C5" s="84" t="str">
        <x:v>项目治理</x:v>
      </x:c>
      <x:c r="D5" s="84" t="str">
        <x:v>全部</x:v>
      </x:c>
      <x:c r="E5" s="84" t="str">
        <x:v>盘点脏工作树、确认变更归属并建立集成分支/提交边界</x:v>
      </x:c>
      <x:c r="F5" s="84" t="str">
        <x:v>plant3d-web + plant-model-gen</x:v>
      </x:c>
      <x:c r="G5" s="84" t="str">
        <x:v>产品/架构</x:v>
      </x:c>
      <x:c r="H5" s="85" t="n">
        <x:v>46217.166666666664</x:v>
      </x:c>
      <x:c r="I5" s="85" t="n">
        <x:v>46217.166666666664</x:v>
      </x:c>
      <x:c r="J5" s="105" t="n">
        <x:f>NETWORKDAYS(H5,I5)</x:f>
        <x:v>1</x:v>
      </x:c>
      <x:c r="K5" s="105" t="n">
        <x:v>1</x:v>
      </x:c>
      <x:c r="L5" s="84" t="str">
        <x:v>-</x:v>
      </x:c>
      <x:c r="M5" s="84" t="str">
        <x:v>P0</x:v>
      </x:c>
      <x:c r="N5" s="84" t="str">
        <x:v>未开始</x:v>
      </x:c>
      <x:c r="O5" s="84" t="str">
        <x:v>变更归属清单、集成基线</x:v>
      </x:c>
      <x:c r="P5" s="84" t="str">
        <x:v>不覆盖现有用户改动；所有计划内文件有责任人</x:v>
      </x:c>
    </x:row>
    <x:row r="6" ht="58" customHeight="1">
      <x:c r="A6" s="86" t="str">
        <x:v>T02</x:v>
      </x:c>
      <x:c r="B6" s="86" t="str">
        <x:v>阶段0 基线</x:v>
      </x:c>
      <x:c r="C6" s="86" t="str">
        <x:v>版本管理</x:v>
      </x:c>
      <x:c r="D6" s="86" t="str">
        <x:v>多版本对照</x:v>
      </x:c>
      <x:c r="E6" s="86" t="str">
        <x:v>统一 AMS DB1112 基准版本：消除 896→897 与 791→897 冲突，固化 release/fixture</x:v>
      </x:c>
      <x:c r="F6" s="86" t="str">
        <x:v>两仓 + public/incremental-demo</x:v>
      </x:c>
      <x:c r="G6" s="86" t="str">
        <x:v>后端/Rust</x:v>
      </x:c>
      <x:c r="H6" s="87" t="n">
        <x:v>46217.166666666664</x:v>
      </x:c>
      <x:c r="I6" s="87" t="n">
        <x:v>46218.166666666664</x:v>
      </x:c>
      <x:c r="J6" s="106" t="n">
        <x:f>NETWORKDAYS(H6,I6)</x:f>
        <x:v>2</x:v>
      </x:c>
      <x:c r="K6" s="106" t="n">
        <x:v>2</x:v>
      </x:c>
      <x:c r="L6" s="86" t="str">
        <x:v>T01</x:v>
      </x:c>
      <x:c r="M6" s="86" t="str">
        <x:v>P0</x:v>
      </x:c>
      <x:c r="N6" s="86" t="str">
        <x:v>未开始</x:v>
      </x:c>
      <x:c r="O6" s="86" t="str">
        <x:v>唯一版本对与可重复样例</x:v>
      </x:c>
      <x:c r="P6" s="86" t="str">
        <x:v>前后端、文档、E2E 使用同一 from/to release</x:v>
      </x:c>
    </x:row>
    <x:row r="7" ht="58" customHeight="1">
      <x:c r="A7" s="86" t="str">
        <x:v>T03</x:v>
      </x:c>
      <x:c r="B7" s="86" t="str">
        <x:v>阶段0 基线</x:v>
      </x:c>
      <x:c r="C7" s="86" t="str">
        <x:v>需求验收</x:v>
      </x:c>
      <x:c r="D7" s="86" t="str">
        <x:v>图片全部功能</x:v>
      </x:c>
      <x:c r="E7" s="86" t="str">
        <x:v>将图片 12 项转成验收矩阵并绑定真实数据集/角色/证据</x:v>
      </x:c>
      <x:c r="F7" s="86" t="str">
        <x:v>docs + 测试数据</x:v>
      </x:c>
      <x:c r="G7" s="86" t="str">
        <x:v>QA/联调</x:v>
      </x:c>
      <x:c r="H7" s="87" t="n">
        <x:v>46217.166666666664</x:v>
      </x:c>
      <x:c r="I7" s="87" t="n">
        <x:v>46218.166666666664</x:v>
      </x:c>
      <x:c r="J7" s="106" t="n">
        <x:f>NETWORKDAYS(H7,I7)</x:f>
        <x:v>2</x:v>
      </x:c>
      <x:c r="K7" s="106" t="n">
        <x:v>1.5</x:v>
      </x:c>
      <x:c r="L7" s="86" t="str">
        <x:v>T01</x:v>
      </x:c>
      <x:c r="M7" s="86" t="str">
        <x:v>P0</x:v>
      </x:c>
      <x:c r="N7" s="86" t="str">
        <x:v>未开始</x:v>
      </x:c>
      <x:c r="O7" s="86" t="str">
        <x:v>UAT 清单</x:v>
      </x:c>
      <x:c r="P7" s="86" t="str">
        <x:v>每项有输入、步骤、预期、截图/日志证据</x:v>
      </x:c>
    </x:row>
    <x:row r="8" ht="58" customHeight="1">
      <x:c r="A8" s="86" t="str">
        <x:v>T04</x:v>
      </x:c>
      <x:c r="B8" s="86" t="str">
        <x:v>阶段0 基线</x:v>
      </x:c>
      <x:c r="C8" s="86" t="str">
        <x:v>质量基线</x:v>
      </x:c>
      <x:c r="D8" s="86" t="str">
        <x:v>全部</x:v>
      </x:c>
      <x:c r="E8" s="86" t="str">
        <x:v>执行 type-check、lint、单测、双胞胎面板与关键 E2E，记录 baseline pass/fail</x:v>
      </x:c>
      <x:c r="F8" s="86" t="str">
        <x:v>plant3d-web</x:v>
      </x:c>
      <x:c r="G8" s="86" t="str">
        <x:v>QA/联调</x:v>
      </x:c>
      <x:c r="H8" s="87" t="n">
        <x:v>46217.166666666664</x:v>
      </x:c>
      <x:c r="I8" s="87" t="n">
        <x:v>46218.166666666664</x:v>
      </x:c>
      <x:c r="J8" s="106" t="n">
        <x:f>NETWORKDAYS(H8,I8)</x:f>
        <x:v>2</x:v>
      </x:c>
      <x:c r="K8" s="106" t="n">
        <x:v>1.5</x:v>
      </x:c>
      <x:c r="L8" s="86" t="str">
        <x:v>T01</x:v>
      </x:c>
      <x:c r="M8" s="86" t="str">
        <x:v>P0</x:v>
      </x:c>
      <x:c r="N8" s="86" t="str">
        <x:v>未开始</x:v>
      </x:c>
      <x:c r="O8" s="86" t="str">
        <x:v>baseline 报告</x:v>
      </x:c>
      <x:c r="P8" s="86" t="str">
        <x:v>after 不新增 fail；既有失败有归属</x:v>
      </x:c>
    </x:row>
    <x:row r="9" ht="58" customHeight="1">
      <x:c r="A9" s="86" t="str">
        <x:v>T05</x:v>
      </x:c>
      <x:c r="B9" s="86" t="str">
        <x:v>阶段1 底座</x:v>
      </x:c>
      <x:c r="C9" s="86" t="str">
        <x:v>版本存储</x:v>
      </x:c>
      <x:c r="D9" s="86" t="str">
        <x:v>PE/ATT 历史</x:v>
      </x:c>
      <x:c r="E9" s="86" t="str">
        <x:v>完成 sesno_version_anchor schema、增量/全量成功后锚点写入与失败不写</x:v>
      </x:c>
      <x:c r="F9" s="86" t="str">
        <x:v>plant-model-gen + rs-core</x:v>
      </x:c>
      <x:c r="G9" s="86" t="str">
        <x:v>后端/Rust</x:v>
      </x:c>
      <x:c r="H9" s="87" t="n">
        <x:v>46217.166666666664</x:v>
      </x:c>
      <x:c r="I9" s="87" t="n">
        <x:v>46220.166666666664</x:v>
      </x:c>
      <x:c r="J9" s="106" t="n">
        <x:f>NETWORKDAYS(H9,I9)</x:f>
        <x:v>4</x:v>
      </x:c>
      <x:c r="K9" s="106" t="n">
        <x:v>4</x:v>
      </x:c>
      <x:c r="L9" s="86" t="str">
        <x:v>T01</x:v>
      </x:c>
      <x:c r="M9" s="86" t="str">
        <x:v>P0</x:v>
      </x:c>
      <x:c r="N9" s="86" t="str">
        <x:v>未开始</x:v>
      </x:c>
      <x:c r="O9" s="86" t="str">
        <x:v>Spec 022 M2</x:v>
      </x:c>
      <x:c r="P9" s="86" t="str">
        <x:v>成功 100% 有锚点；失败 0 条锚点</x:v>
      </x:c>
    </x:row>
    <x:row r="10" ht="58" customHeight="1">
      <x:c r="A10" s="86" t="str">
        <x:v>T06</x:v>
      </x:c>
      <x:c r="B10" s="86" t="str">
        <x:v>阶段1 底座</x:v>
      </x:c>
      <x:c r="C10" s="86" t="str">
        <x:v>版本存储</x:v>
      </x:c>
      <x:c r="D10" s="86" t="str">
        <x:v>历史快照</x:v>
      </x:c>
      <x:c r="E10" s="86" t="str">
        <x:v>实现 rs-core version_query：sesno 解析、snapshot、retention 越界错误翻译</x:v>
      </x:c>
      <x:c r="F10" s="86" t="str">
        <x:v>rs-core + plant-model-gen</x:v>
      </x:c>
      <x:c r="G10" s="86" t="str">
        <x:v>后端/Rust</x:v>
      </x:c>
      <x:c r="H10" s="87" t="n">
        <x:v>46223.166666666664</x:v>
      </x:c>
      <x:c r="I10" s="87" t="n">
        <x:v>46225.166666666664</x:v>
      </x:c>
      <x:c r="J10" s="106" t="n">
        <x:f>NETWORKDAYS(H10,I10)</x:f>
        <x:v>3</x:v>
      </x:c>
      <x:c r="K10" s="106" t="n">
        <x:v>3</x:v>
      </x:c>
      <x:c r="L10" s="86" t="str">
        <x:v>T05</x:v>
      </x:c>
      <x:c r="M10" s="86" t="str">
        <x:v>P0</x:v>
      </x:c>
      <x:c r="N10" s="86" t="str">
        <x:v>未开始</x:v>
      </x:c>
      <x:c r="O10" s="86" t="str">
        <x:v>history snapshot CLI</x:v>
      </x:c>
      <x:c r="P10" s="86" t="str">
        <x:v>单元素快照 &lt;2s；删除前历史可查</x:v>
      </x:c>
    </x:row>
    <x:row r="11" ht="58" customHeight="1">
      <x:c r="A11" s="86" t="str">
        <x:v>T07</x:v>
      </x:c>
      <x:c r="B11" s="86" t="str">
        <x:v>阶段1 底座</x:v>
      </x:c>
      <x:c r="C11" s="86" t="str">
        <x:v>版本存储</x:v>
      </x:c>
      <x:c r="D11" s="86" t="str">
        <x:v>历史差异</x:v>
      </x:c>
      <x:c r="E11" s="86" t="str">
        <x:v>补 timeline/diff CLI、JSON 输出与 SurrealQL 对照验证</x:v>
      </x:c>
      <x:c r="F11" s="86" t="str">
        <x:v>rs-core + plant-model-gen</x:v>
      </x:c>
      <x:c r="G11" s="86" t="str">
        <x:v>后端/Rust</x:v>
      </x:c>
      <x:c r="H11" s="87" t="n">
        <x:v>46226.166666666664</x:v>
      </x:c>
      <x:c r="I11" s="87" t="n">
        <x:v>46227.166666666664</x:v>
      </x:c>
      <x:c r="J11" s="106" t="n">
        <x:f>NETWORKDAYS(H11,I11)</x:f>
        <x:v>2</x:v>
      </x:c>
      <x:c r="K11" s="106" t="n">
        <x:v>2</x:v>
      </x:c>
      <x:c r="L11" s="86" t="str">
        <x:v>T06</x:v>
      </x:c>
      <x:c r="M11" s="86" t="str">
        <x:v>P0</x:v>
      </x:c>
      <x:c r="N11" s="86" t="str">
        <x:v>未开始</x:v>
      </x:c>
      <x:c r="O11" s="86" t="str">
        <x:v>history timeline/diff CLI</x:v>
      </x:c>
      <x:c r="P11" s="86" t="str">
        <x:v>字段级差异、added/deleted 分类准确</x:v>
      </x:c>
    </x:row>
    <x:row r="12" ht="58" customHeight="1">
      <x:c r="A12" s="86" t="str">
        <x:v>T08</x:v>
      </x:c>
      <x:c r="B12" s="86" t="str">
        <x:v>阶段1 底座</x:v>
      </x:c>
      <x:c r="C12" s="86" t="str">
        <x:v>版本存储</x:v>
      </x:c>
      <x:c r="D12" s="86" t="str">
        <x:v>存量迁移</x:v>
      </x:c>
      <x:c r="E12" s="86" t="str">
        <x:v>编写并实跑 versioned RocksDB 新目录重灌、抽样比对、切流 quickstart</x:v>
      </x:c>
      <x:c r="F12" s="86" t="str">
        <x:v>plant-model-gen</x:v>
      </x:c>
      <x:c r="G12" s="86" t="str">
        <x:v>后端/Rust</x:v>
      </x:c>
      <x:c r="H12" s="87" t="n">
        <x:v>46230.166666666664</x:v>
      </x:c>
      <x:c r="I12" s="87" t="n">
        <x:v>46230.166666666664</x:v>
      </x:c>
      <x:c r="J12" s="106" t="n">
        <x:f>NETWORKDAYS(H12,I12)</x:f>
        <x:v>1</x:v>
      </x:c>
      <x:c r="K12" s="106" t="n">
        <x:v>1</x:v>
      </x:c>
      <x:c r="L12" s="86" t="str">
        <x:v>T06</x:v>
      </x:c>
      <x:c r="M12" s="86" t="str">
        <x:v>P1</x:v>
      </x:c>
      <x:c r="N12" s="86" t="str">
        <x:v>未开始</x:v>
      </x:c>
      <x:c r="O12" s="86" t="str">
        <x:v>迁移与回滚手册</x:v>
      </x:c>
      <x:c r="P12" s="86" t="str">
        <x:v>测试站点当前态一致，增量回归通过</x:v>
      </x:c>
    </x:row>
    <x:row r="13" ht="58" customHeight="1">
      <x:c r="A13" s="86" t="str">
        <x:v>T09</x:v>
      </x:c>
      <x:c r="B13" s="86" t="str">
        <x:v>阶段1 底座</x:v>
      </x:c>
      <x:c r="C13" s="86" t="str">
        <x:v>增量发布</x:v>
      </x:c>
      <x:c r="D13" s="86" t="str">
        <x:v>增量更新</x:v>
      </x:c>
      <x:c r="E13" s="86" t="str">
        <x:v>核对 incremental-sesno/watch → handoff → 显式 register → DuckLake release 的生产链</x:v>
      </x:c>
      <x:c r="F13" s="86" t="str">
        <x:v>plant-model-gen</x:v>
      </x:c>
      <x:c r="G13" s="86" t="str">
        <x:v>后端/Rust</x:v>
      </x:c>
      <x:c r="H13" s="87" t="n">
        <x:v>46219.166666666664</x:v>
      </x:c>
      <x:c r="I13" s="87" t="n">
        <x:v>46223.166666666664</x:v>
      </x:c>
      <x:c r="J13" s="106" t="n">
        <x:f>NETWORKDAYS(H13,I13)</x:f>
        <x:v>3</x:v>
      </x:c>
      <x:c r="K13" s="106" t="n">
        <x:v>3</x:v>
      </x:c>
      <x:c r="L13" s="86" t="str">
        <x:v>T02</x:v>
      </x:c>
      <x:c r="M13" s="86" t="str">
        <x:v>P0</x:v>
      </x:c>
      <x:c r="N13" s="86" t="str">
        <x:v>未开始</x:v>
      </x:c>
      <x:c r="O13" s="86" t="str">
        <x:v>发布链 CLI 记录</x:v>
      </x:c>
      <x:c r="P13" s="86" t="str">
        <x:v>不自动注册 release；每步可审计、可重跑</x:v>
      </x:c>
    </x:row>
    <x:row r="14" ht="58" customHeight="1">
      <x:c r="A14" s="86" t="str">
        <x:v>T10</x:v>
      </x:c>
      <x:c r="B14" s="86" t="str">
        <x:v>阶段1 底座</x:v>
      </x:c>
      <x:c r="C14" s="86" t="str">
        <x:v>版本 API</x:v>
      </x:c>
      <x:c r="D14" s="86" t="str">
        <x:v>多版本对照</x:v>
      </x:c>
      <x:c r="E14" s="86" t="str">
        <x:v>收口 releases/readiness/diff/runtime-scene/mesh-assets 过滤与 component_key 契约</x:v>
      </x:c>
      <x:c r="F14" s="86" t="str">
        <x:v>plant-model-gen model_version_api</x:v>
      </x:c>
      <x:c r="G14" s="86" t="str">
        <x:v>后端/Rust</x:v>
      </x:c>
      <x:c r="H14" s="87" t="n">
        <x:v>46224.166666666664</x:v>
      </x:c>
      <x:c r="I14" s="87" t="n">
        <x:v>46226.166666666664</x:v>
      </x:c>
      <x:c r="J14" s="106" t="n">
        <x:f>NETWORKDAYS(H14,I14)</x:f>
        <x:v>3</x:v>
      </x:c>
      <x:c r="K14" s="106" t="n">
        <x:v>3</x:v>
      </x:c>
      <x:c r="L14" s="86" t="str">
        <x:v>T09</x:v>
      </x:c>
      <x:c r="M14" s="86" t="str">
        <x:v>P0</x:v>
      </x:c>
      <x:c r="N14" s="86" t="str">
        <x:v>未开始</x:v>
      </x:c>
      <x:c r="O14" s="86" t="str">
        <x:v>稳定 API 契约</x:v>
      </x:c>
      <x:c r="P14" s="86" t="str">
        <x:v>added/deleted 缺侧为预期，不返回通用 500</x:v>
      </x:c>
    </x:row>
    <x:row r="15" ht="58" customHeight="1">
      <x:c r="A15" s="86" t="str">
        <x:v>T11</x:v>
      </x:c>
      <x:c r="B15" s="86" t="str">
        <x:v>阶段1 底座</x:v>
      </x:c>
      <x:c r="C15" s="86" t="str">
        <x:v>增量发布</x:v>
      </x:c>
      <x:c r="D15" s="86" t="str">
        <x:v>端到端增量</x:v>
      </x:c>
      <x:c r="E15" s="86" t="str">
        <x:v>对统一样例实跑增量生成、release 注册、diff、运行场景和 mesh 资产核对</x:v>
      </x:c>
      <x:c r="F15" s="86" t="str">
        <x:v>plant-model-gen</x:v>
      </x:c>
      <x:c r="G15" s="86" t="str">
        <x:v>QA/联调</x:v>
      </x:c>
      <x:c r="H15" s="87" t="n">
        <x:v>46227.166666666664</x:v>
      </x:c>
      <x:c r="I15" s="87" t="n">
        <x:v>46230.166666666664</x:v>
      </x:c>
      <x:c r="J15" s="106" t="n">
        <x:f>NETWORKDAYS(H15,I15)</x:f>
        <x:v>2</x:v>
      </x:c>
      <x:c r="K15" s="106" t="n">
        <x:v>2</x:v>
      </x:c>
      <x:c r="L15" s="86" t="str">
        <x:v>T07,T10</x:v>
      </x:c>
      <x:c r="M15" s="86" t="str">
        <x:v>P0</x:v>
      </x:c>
      <x:c r="N15" s="86" t="str">
        <x:v>未开始</x:v>
      </x:c>
      <x:c r="O15" s="86" t="str">
        <x:v>后端 E2E 证据</x:v>
      </x:c>
      <x:c r="P15" s="86" t="str">
        <x:v>release 可比较且 readiness 解释完整</x:v>
      </x:c>
    </x:row>
    <x:row r="16" ht="58" customHeight="1">
      <x:c r="A16" s="86" t="str">
        <x:v>T12</x:v>
      </x:c>
      <x:c r="B16" s="86" t="str">
        <x:v>阶段2 前端</x:v>
      </x:c>
      <x:c r="C16" s="86" t="str">
        <x:v>版本前端</x:v>
      </x:c>
      <x:c r="D16" s="86" t="str">
        <x:v>多版本对照</x:v>
      </x:c>
      <x:c r="E16" s="86" t="str">
        <x:v>抽出 modelVersionCompareApi，移除硬编码 release，统一 slash/underscore refno</x:v>
      </x:c>
      <x:c r="F16" s="86" t="str">
        <x:v>plant3d-web</x:v>
      </x:c>
      <x:c r="G16" s="86" t="str">
        <x:v>前端/3D</x:v>
      </x:c>
      <x:c r="H16" s="87" t="n">
        <x:v>46219.166666666664</x:v>
      </x:c>
      <x:c r="I16" s="87" t="n">
        <x:v>46220.166666666664</x:v>
      </x:c>
      <x:c r="J16" s="106" t="n">
        <x:f>NETWORKDAYS(H16,I16)</x:f>
        <x:v>2</x:v>
      </x:c>
      <x:c r="K16" s="106" t="n">
        <x:v>2</x:v>
      </x:c>
      <x:c r="L16" s="86" t="str">
        <x:v>T02</x:v>
      </x:c>
      <x:c r="M16" s="86" t="str">
        <x:v>P0</x:v>
      </x:c>
      <x:c r="N16" s="86" t="str">
        <x:v>进行中</x:v>
      </x:c>
      <x:c r="O16" s="86" t="str">
        <x:v>API adapter 与单测</x:v>
      </x:c>
      <x:c r="P16" s="86" t="str">
        <x:v>任意项目/release 可选择；无前端 refno_u64 猜测</x:v>
      </x:c>
    </x:row>
    <x:row r="17" ht="58" customHeight="1">
      <x:c r="A17" s="86" t="str">
        <x:v>T13</x:v>
      </x:c>
      <x:c r="B17" s="86" t="str">
        <x:v>阶段2 前端</x:v>
      </x:c>
      <x:c r="C17" s="86" t="str">
        <x:v>版本前端</x:v>
      </x:c>
      <x:c r="D17" s="86" t="str">
        <x:v>多版本对照</x:v>
      </x:c>
      <x:c r="E17" s="86" t="str">
        <x:v>完善版本选择、质量/就绪状态、refno/noun/change_type 过滤和来源展示</x:v>
      </x:c>
      <x:c r="F17" s="86" t="str">
        <x:v>plant3d-web ModelVersionComparePanel</x:v>
      </x:c>
      <x:c r="G17" s="86" t="str">
        <x:v>前端/3D</x:v>
      </x:c>
      <x:c r="H17" s="87" t="n">
        <x:v>46223.166666666664</x:v>
      </x:c>
      <x:c r="I17" s="87" t="n">
        <x:v>46225.166666666664</x:v>
      </x:c>
      <x:c r="J17" s="106" t="n">
        <x:f>NETWORKDAYS(H17,I17)</x:f>
        <x:v>3</x:v>
      </x:c>
      <x:c r="K17" s="106" t="n">
        <x:v>3</x:v>
      </x:c>
      <x:c r="L17" s="86" t="str">
        <x:v>T10,T12</x:v>
      </x:c>
      <x:c r="M17" s="86" t="str">
        <x:v>P0</x:v>
      </x:c>
      <x:c r="N17" s="86" t="str">
        <x:v>进行中</x:v>
      </x:c>
      <x:c r="O17" s="86" t="str">
        <x:v>生产版对比面板</x:v>
      </x:c>
      <x:c r="P17" s="86" t="str">
        <x:v>不默认伪装 demo 为生产；错误为面板级</x:v>
      </x:c>
    </x:row>
    <x:row r="18" ht="58" customHeight="1">
      <x:c r="A18" s="86" t="str">
        <x:v>T14</x:v>
      </x:c>
      <x:c r="B18" s="86" t="str">
        <x:v>阶段2 前端</x:v>
      </x:c>
      <x:c r="C18" s="86" t="str">
        <x:v>版本渲染</x:v>
      </x:c>
      <x:c r="D18" s="86" t="str">
        <x:v>多版本对照</x:v>
      </x:c>
      <x:c r="E18" s="86" t="str">
        <x:v>复用 release-local DTX loader 展示旧/新版本，处理新增/删除缺侧语义</x:v>
      </x:c>
      <x:c r="F18" s="86" t="str">
        <x:v>plant3d-web ViewerPanel</x:v>
      </x:c>
      <x:c r="G18" s="86" t="str">
        <x:v>前端/3D</x:v>
      </x:c>
      <x:c r="H18" s="87" t="n">
        <x:v>46226.166666666664</x:v>
      </x:c>
      <x:c r="I18" s="87" t="n">
        <x:v>46230.166666666664</x:v>
      </x:c>
      <x:c r="J18" s="106" t="n">
        <x:f>NETWORKDAYS(H18,I18)</x:f>
        <x:v>3</x:v>
      </x:c>
      <x:c r="K18" s="106" t="n">
        <x:v>3</x:v>
      </x:c>
      <x:c r="L18" s="86" t="str">
        <x:v>T10,T13</x:v>
      </x:c>
      <x:c r="M18" s="86" t="str">
        <x:v>P0</x:v>
      </x:c>
      <x:c r="N18" s="86" t="str">
        <x:v>进行中</x:v>
      </x:c>
      <x:c r="O18" s="86" t="str">
        <x:v>真实双版本三维对照</x:v>
      </x:c>
      <x:c r="P18" s="86" t="str">
        <x:v>同 component_key 两侧可见；缺侧有明确占位</x:v>
      </x:c>
    </x:row>
    <x:row r="19" ht="58" customHeight="1">
      <x:c r="A19" s="86" t="str">
        <x:v>T15</x:v>
      </x:c>
      <x:c r="B19" s="86" t="str">
        <x:v>阶段2 前端</x:v>
      </x:c>
      <x:c r="C19" s="86" t="str">
        <x:v>版本渲染</x:v>
      </x:c>
      <x:c r="D19" s="86" t="str">
        <x:v>多版本对照</x:v>
      </x:c>
      <x:c r="E19" s="86" t="str">
        <x:v>同步相机、选中、高亮、模型树；关闭对比时释放 DTX/GPU 资源</x:v>
      </x:c>
      <x:c r="F19" s="86" t="str">
        <x:v>plant3d-web ViewerPanel/ModelTree</x:v>
      </x:c>
      <x:c r="G19" s="86" t="str">
        <x:v>前端/3D</x:v>
      </x:c>
      <x:c r="H19" s="87" t="n">
        <x:v>46231.166666666664</x:v>
      </x:c>
      <x:c r="I19" s="87" t="n">
        <x:v>46232.166666666664</x:v>
      </x:c>
      <x:c r="J19" s="106" t="n">
        <x:f>NETWORKDAYS(H19,I19)</x:f>
        <x:v>2</x:v>
      </x:c>
      <x:c r="K19" s="106" t="n">
        <x:v>2</x:v>
      </x:c>
      <x:c r="L19" s="86" t="str">
        <x:v>T14</x:v>
      </x:c>
      <x:c r="M19" s="86" t="str">
        <x:v>P0</x:v>
      </x:c>
      <x:c r="N19" s="86" t="str">
        <x:v>未开始</x:v>
      </x:c>
      <x:c r="O19" s="86" t="str">
        <x:v>交互与资源清理</x:v>
      </x:c>
      <x:c r="P19" s="86" t="str">
        <x:v>反复打开 20 次无上下文泄漏/残留对象</x:v>
      </x:c>
    </x:row>
    <x:row r="20" ht="58" customHeight="1">
      <x:c r="A20" s="86" t="str">
        <x:v>T16</x:v>
      </x:c>
      <x:c r="B20" s="86" t="str">
        <x:v>阶段2 前端</x:v>
      </x:c>
      <x:c r="C20" s="86" t="str">
        <x:v>版本验收</x:v>
      </x:c>
      <x:c r="D20" s="86" t="str">
        <x:v>多版本对照</x:v>
      </x:c>
      <x:c r="E20" s="86" t="str">
        <x:v>新增真实 release 版本对比 E2E 与 demo fallback 隔离验证</x:v>
      </x:c>
      <x:c r="F20" s="86" t="str">
        <x:v>plant3d-web e2e</x:v>
      </x:c>
      <x:c r="G20" s="86" t="str">
        <x:v>QA/联调</x:v>
      </x:c>
      <x:c r="H20" s="87" t="n">
        <x:v>46233.166666666664</x:v>
      </x:c>
      <x:c r="I20" s="87" t="n">
        <x:v>46233.166666666664</x:v>
      </x:c>
      <x:c r="J20" s="106" t="n">
        <x:f>NETWORKDAYS(H20,I20)</x:f>
        <x:v>1</x:v>
      </x:c>
      <x:c r="K20" s="106" t="n">
        <x:v>1</x:v>
      </x:c>
      <x:c r="L20" s="86" t="str">
        <x:v>T11,T15</x:v>
      </x:c>
      <x:c r="M20" s="86" t="str">
        <x:v>P0</x:v>
      </x:c>
      <x:c r="N20" s="86" t="str">
        <x:v>未开始</x:v>
      </x:c>
      <x:c r="O20" s="86" t="str">
        <x:v>版本对比 E2E</x:v>
      </x:c>
      <x:c r="P20" s="86" t="str">
        <x:v>真实链路优先；后端断开时才显示 demo 来源</x:v>
      </x:c>
    </x:row>
    <x:row r="21" ht="58" customHeight="1">
      <x:c r="A21" s="86" t="str">
        <x:v>T17</x:v>
      </x:c>
      <x:c r="B21" s="86" t="str">
        <x:v>阶段2 前端</x:v>
      </x:c>
      <x:c r="C21" s="86" t="str">
        <x:v>校审批注</x:v>
      </x:c>
      <x:c r="D21" s="86" t="str">
        <x:v>云线元素绑定</x:v>
      </x:c>
      <x:c r="E21" s="86" t="str">
        <x:v>统一 text/cloud/rect/obb 的 refnos 读取、持久化与 PMS 快照恢复验收</x:v>
      </x:c>
      <x:c r="F21" s="86" t="str">
        <x:v>plant3d-web review/tool store</x:v>
      </x:c>
      <x:c r="G21" s="86" t="str">
        <x:v>校审前端</x:v>
      </x:c>
      <x:c r="H21" s="87" t="n">
        <x:v>46219.166666666664</x:v>
      </x:c>
      <x:c r="I21" s="87" t="n">
        <x:v>46219.166666666664</x:v>
      </x:c>
      <x:c r="J21" s="106" t="n">
        <x:f>NETWORKDAYS(H21,I21)</x:f>
        <x:v>1</x:v>
      </x:c>
      <x:c r="K21" s="106" t="n">
        <x:v>1</x:v>
      </x:c>
      <x:c r="L21" s="86" t="str">
        <x:v>T03</x:v>
      </x:c>
      <x:c r="M21" s="86" t="str">
        <x:v>P0</x:v>
      </x:c>
      <x:c r="N21" s="86" t="str">
        <x:v>未开始</x:v>
      </x:c>
      <x:c r="O21" s="86" t="str">
        <x:v>绑定一致性修复/测试</x:v>
      </x:c>
      <x:c r="P21" s="86" t="str">
        <x:v>刷新和跨角色后 refnos 不丢失</x:v>
      </x:c>
    </x:row>
    <x:row r="22" ht="58" customHeight="1">
      <x:c r="A22" s="86" t="str">
        <x:v>T18</x:v>
      </x:c>
      <x:c r="B22" s="86" t="str">
        <x:v>阶段2 前端</x:v>
      </x:c>
      <x:c r="C22" s="86" t="str">
        <x:v>校审批注</x:v>
      </x:c>
      <x:c r="D22" s="86" t="str">
        <x:v>自动截屏</x:v>
      </x:c>
      <x:c r="E22" s="86" t="str">
        <x:v>云线结束事件调用现有 captureAndUpload，补防重入、失败提示与重试</x:v>
      </x:c>
      <x:c r="F22" s="86" t="str">
        <x:v>plant3d-web AnnotationPanel/useScreenshot</x:v>
      </x:c>
      <x:c r="G22" s="86" t="str">
        <x:v>校审前端</x:v>
      </x:c>
      <x:c r="H22" s="87" t="n">
        <x:v>46220.166666666664</x:v>
      </x:c>
      <x:c r="I22" s="87" t="n">
        <x:v>46223.166666666664</x:v>
      </x:c>
      <x:c r="J22" s="106" t="n">
        <x:f>NETWORKDAYS(H22,I22)</x:f>
        <x:v>2</x:v>
      </x:c>
      <x:c r="K22" s="106" t="n">
        <x:v>2</x:v>
      </x:c>
      <x:c r="L22" s="86" t="str">
        <x:v>T17</x:v>
      </x:c>
      <x:c r="M22" s="86" t="str">
        <x:v>P0</x:v>
      </x:c>
      <x:c r="N22" s="86" t="str">
        <x:v>未开始</x:v>
      </x:c>
      <x:c r="O22" s="86" t="str">
        <x:v>自动截图闭环</x:v>
      </x:c>
      <x:c r="P22" s="86" t="str">
        <x:v>创建后自动出现缩略图；失败不丢批注</x:v>
      </x:c>
    </x:row>
    <x:row r="23" ht="58" customHeight="1">
      <x:c r="A23" s="86" t="str">
        <x:v>T19</x:v>
      </x:c>
      <x:c r="B23" s="86" t="str">
        <x:v>阶段2 前端</x:v>
      </x:c>
      <x:c r="C23" s="86" t="str">
        <x:v>校审批注</x:v>
      </x:c>
      <x:c r="D23" s="86" t="str">
        <x:v>截图回归</x:v>
      </x:c>
      <x:c r="E23" s="86" t="str">
        <x:v>截图在工作区/表格/ReviewPanel/DesignerPanel 一致展示，重拍/删除清理附件</x:v>
      </x:c>
      <x:c r="F23" s="86" t="str">
        <x:v>plant3d-web review twins</x:v>
      </x:c>
      <x:c r="G23" s="86" t="str">
        <x:v>QA/联调</x:v>
      </x:c>
      <x:c r="H23" s="87" t="n">
        <x:v>46224.166666666664</x:v>
      </x:c>
      <x:c r="I23" s="87" t="n">
        <x:v>46224.166666666664</x:v>
      </x:c>
      <x:c r="J23" s="106" t="n">
        <x:f>NETWORKDAYS(H23,I23)</x:f>
        <x:v>1</x:v>
      </x:c>
      <x:c r="K23" s="106" t="n">
        <x:v>1</x:v>
      </x:c>
      <x:c r="L23" s="86" t="str">
        <x:v>T18</x:v>
      </x:c>
      <x:c r="M23" s="86" t="str">
        <x:v>P0</x:v>
      </x:c>
      <x:c r="N23" s="86" t="str">
        <x:v>未开始</x:v>
      </x:c>
      <x:c r="O23" s="86" t="str">
        <x:v>双胞胎面板回归</x:v>
      </x:c>
      <x:c r="P23" s="86" t="str">
        <x:v>规定测试 baseline vs after 不新增 fail</x:v>
      </x:c>
    </x:row>
    <x:row r="24" ht="58" customHeight="1">
      <x:c r="A24" s="86" t="str">
        <x:v>T20</x:v>
      </x:c>
      <x:c r="B24" s="86" t="str">
        <x:v>阶段2 前端</x:v>
      </x:c>
      <x:c r="C24" s="86" t="str">
        <x:v>校审附件</x:v>
      </x:c>
      <x:c r="D24" s="86" t="str">
        <x:v>PDF/WORD 展示</x:v>
      </x:c>
      <x:c r="E24" s="86" t="str">
        <x:v>实现关联文件预览：pdfjs PDF、mammoth DOCX，异常安全下载与类型/大小限制</x:v>
      </x:c>
      <x:c r="F24" s="86" t="str">
        <x:v>plant3d-web AssociatedFilesList</x:v>
      </x:c>
      <x:c r="G24" s="86" t="str">
        <x:v>校审前端</x:v>
      </x:c>
      <x:c r="H24" s="87" t="n">
        <x:v>46225.166666666664</x:v>
      </x:c>
      <x:c r="I24" s="87" t="n">
        <x:v>46227.166666666664</x:v>
      </x:c>
      <x:c r="J24" s="106" t="n">
        <x:f>NETWORKDAYS(H24,I24)</x:f>
        <x:v>3</x:v>
      </x:c>
      <x:c r="K24" s="106" t="n">
        <x:v>3</x:v>
      </x:c>
      <x:c r="L24" s="86" t="str">
        <x:v>T17</x:v>
      </x:c>
      <x:c r="M24" s="86" t="str">
        <x:v>P0</x:v>
      </x:c>
      <x:c r="N24" s="86" t="str">
        <x:v>未开始</x:v>
      </x:c>
      <x:c r="O24" s="86" t="str">
        <x:v>附件预览器</x:v>
      </x:c>
      <x:c r="P24" s="86" t="str">
        <x:v>PDF/DOCX 可读；脚本不执行；失败可下载</x:v>
      </x:c>
    </x:row>
    <x:row r="25" ht="58" customHeight="1">
      <x:c r="A25" s="86" t="str">
        <x:v>T21</x:v>
      </x:c>
      <x:c r="B25" s="86" t="str">
        <x:v>阶段2 前端</x:v>
      </x:c>
      <x:c r="C25" s="86" t="str">
        <x:v>三维交互</x:v>
      </x:c>
      <x:c r="D25" s="86" t="str">
        <x:v>E3D 模型高亮</x:v>
      </x:c>
      <x:c r="E25" s="86" t="str">
        <x:v>统一模型树、批注、版本差异的 selectionStore/highlighter/定位/清除行为</x:v>
      </x:c>
      <x:c r="F25" s="86" t="str">
        <x:v>plant3d-web DTX selection</x:v>
      </x:c>
      <x:c r="G25" s="86" t="str">
        <x:v>前端/3D</x:v>
      </x:c>
      <x:c r="H25" s="87" t="n">
        <x:v>46230.166666666664</x:v>
      </x:c>
      <x:c r="I25" s="87" t="n">
        <x:v>46230.166666666664</x:v>
      </x:c>
      <x:c r="J25" s="106" t="n">
        <x:f>NETWORKDAYS(H25,I25)</x:f>
        <x:v>1</x:v>
      </x:c>
      <x:c r="K25" s="106" t="n">
        <x:v>1</x:v>
      </x:c>
      <x:c r="L25" s="86" t="str">
        <x:v>T15,T17</x:v>
      </x:c>
      <x:c r="M25" s="86" t="str">
        <x:v>P1</x:v>
      </x:c>
      <x:c r="N25" s="86" t="str">
        <x:v>未开始</x:v>
      </x:c>
      <x:c r="O25" s="86" t="str">
        <x:v>统一高亮入口</x:v>
      </x:c>
      <x:c r="P25" s="86" t="str">
        <x:v>三个入口选中同一构件结果一致</x:v>
      </x:c>
    </x:row>
    <x:row r="26" ht="58" customHeight="1">
      <x:c r="A26" s="86" t="str">
        <x:v>T22</x:v>
      </x:c>
      <x:c r="B26" s="86" t="str">
        <x:v>阶段2 前端</x:v>
      </x:c>
      <x:c r="C26" s="86" t="str">
        <x:v>空间隔离</x:v>
      </x:c>
      <x:c r="D26" s="86" t="str">
        <x:v>指定距离模型</x:v>
      </x:c>
      <x:c r="E26" s="86" t="str">
        <x:v>在现有 nearby 查询上增加“以当前选中构件为中心”的半径隔离与恢复</x:v>
      </x:c>
      <x:c r="F26" s="86" t="str">
        <x:v>plant3d-web spatial query</x:v>
      </x:c>
      <x:c r="G26" s="86" t="str">
        <x:v>前端/3D</x:v>
      </x:c>
      <x:c r="H26" s="87" t="n">
        <x:v>46224.166666666664</x:v>
      </x:c>
      <x:c r="I26" s="87" t="n">
        <x:v>46225.166666666664</x:v>
      </x:c>
      <x:c r="J26" s="106" t="n">
        <x:f>NETWORKDAYS(H26,I26)</x:f>
        <x:v>2</x:v>
      </x:c>
      <x:c r="K26" s="106" t="n">
        <x:v>2</x:v>
      </x:c>
      <x:c r="L26" s="86" t="str">
        <x:v>T03</x:v>
      </x:c>
      <x:c r="M26" s="86" t="str">
        <x:v>P0</x:v>
      </x:c>
      <x:c r="N26" s="86" t="str">
        <x:v>未开始</x:v>
      </x:c>
      <x:c r="O26" s="86" t="str">
        <x:v>一键范围隔离</x:v>
      </x:c>
      <x:c r="P26" s="86" t="str">
        <x:v>5m/10m 范围结果与 API 一致，恢复无残留</x:v>
      </x:c>
    </x:row>
    <x:row r="27" ht="58" customHeight="1">
      <x:c r="A27" s="86" t="str">
        <x:v>T23</x:v>
      </x:c>
      <x:c r="B27" s="86" t="str">
        <x:v>阶段2 前端</x:v>
      </x:c>
      <x:c r="C27" s="86" t="str">
        <x:v>空间隔离</x:v>
      </x:c>
      <x:c r="D27" s="86" t="str">
        <x:v>管道切断</x:v>
      </x:c>
      <x:c r="E27" s="86" t="str">
        <x:v>为跨范围边界管道增加 DTX 球/盒裁剪，保留非管道显隐逻辑</x:v>
      </x:c>
      <x:c r="F27" s="86" t="str">
        <x:v>plant3d-web DTX shader/viewer</x:v>
      </x:c>
      <x:c r="G27" s="86" t="str">
        <x:v>前端/3D</x:v>
      </x:c>
      <x:c r="H27" s="87" t="n">
        <x:v>46226.166666666664</x:v>
      </x:c>
      <x:c r="I27" s="87" t="n">
        <x:v>46230.166666666664</x:v>
      </x:c>
      <x:c r="J27" s="106" t="n">
        <x:f>NETWORKDAYS(H27,I27)</x:f>
        <x:v>3</x:v>
      </x:c>
      <x:c r="K27" s="106" t="n">
        <x:v>3</x:v>
      </x:c>
      <x:c r="L27" s="86" t="str">
        <x:v>T22</x:v>
      </x:c>
      <x:c r="M27" s="86" t="str">
        <x:v>P1</x:v>
      </x:c>
      <x:c r="N27" s="86" t="str">
        <x:v>未开始</x:v>
      </x:c>
      <x:c r="O27" s="86" t="str">
        <x:v>范围裁剪能力</x:v>
      </x:c>
      <x:c r="P27" s="86" t="str">
        <x:v>边界管道视觉切断；拾取/恢复正确</x:v>
      </x:c>
    </x:row>
    <x:row r="28" ht="58" customHeight="1">
      <x:c r="A28" s="86" t="str">
        <x:v>T24</x:v>
      </x:c>
      <x:c r="B28" s="86" t="str">
        <x:v>阶段2 前端</x:v>
      </x:c>
      <x:c r="C28" s="86" t="str">
        <x:v>空间隔离</x:v>
      </x:c>
      <x:c r="D28" s="86" t="str">
        <x:v>性能/恢复</x:v>
      </x:c>
      <x:c r="E28" s="86" t="str">
        <x:v>大结果集查询、隔离、裁剪、取消的性能与状态恢复验证</x:v>
      </x:c>
      <x:c r="F28" s="86" t="str">
        <x:v>plant3d-web</x:v>
      </x:c>
      <x:c r="G28" s="86" t="str">
        <x:v>QA/联调</x:v>
      </x:c>
      <x:c r="H28" s="87" t="n">
        <x:v>46231.166666666664</x:v>
      </x:c>
      <x:c r="I28" s="87" t="n">
        <x:v>46231.166666666664</x:v>
      </x:c>
      <x:c r="J28" s="106" t="n">
        <x:f>NETWORKDAYS(H28,I28)</x:f>
        <x:v>1</x:v>
      </x:c>
      <x:c r="K28" s="106" t="n">
        <x:v>1</x:v>
      </x:c>
      <x:c r="L28" s="86" t="str">
        <x:v>T23</x:v>
      </x:c>
      <x:c r="M28" s="86" t="str">
        <x:v>P1</x:v>
      </x:c>
      <x:c r="N28" s="86" t="str">
        <x:v>未开始</x:v>
      </x:c>
      <x:c r="O28" s="86" t="str">
        <x:v>性能记录</x:v>
      </x:c>
      <x:c r="P28" s="86" t="str">
        <x:v>300 构件内交互可用；无不可恢复隐藏</x:v>
      </x:c>
    </x:row>
    <x:row r="29" ht="58" customHeight="1">
      <x:c r="A29" s="86" t="str">
        <x:v>T25</x:v>
      </x:c>
      <x:c r="B29" s="86" t="str">
        <x:v>阶段3 测量</x:v>
      </x:c>
      <x:c r="C29" s="86" t="str">
        <x:v>关键点测量</x:v>
      </x:c>
      <x:c r="D29" s="86" t="str">
        <x:v>PointSet + 测量</x:v>
      </x:c>
      <x:c r="E29" s="86" t="str">
        <x:v>按 E3D 操作模式验收 P-Point/Item 原点、加载中防误选、距离/角度/标高</x:v>
      </x:c>
      <x:c r="F29" s="86" t="str">
        <x:v>plant3d-web measurement</x:v>
      </x:c>
      <x:c r="G29" s="86" t="str">
        <x:v>前端/3D</x:v>
      </x:c>
      <x:c r="H29" s="87" t="n">
        <x:v>46223.166666666664</x:v>
      </x:c>
      <x:c r="I29" s="87" t="n">
        <x:v>46224.166666666664</x:v>
      </x:c>
      <x:c r="J29" s="106" t="n">
        <x:f>NETWORKDAYS(H29,I29)</x:f>
        <x:v>2</x:v>
      </x:c>
      <x:c r="K29" s="106" t="n">
        <x:v>2</x:v>
      </x:c>
      <x:c r="L29" s="86" t="str">
        <x:v>T03</x:v>
      </x:c>
      <x:c r="M29" s="86" t="str">
        <x:v>P0</x:v>
      </x:c>
      <x:c r="N29" s="86" t="str">
        <x:v>未开始</x:v>
      </x:c>
      <x:c r="O29" s="86" t="str">
        <x:v>关键点测量验收/修复</x:v>
      </x:c>
      <x:c r="P29" s="86" t="str">
        <x:v>工程 World 坐标不受 recenter 影响</x:v>
      </x:c>
    </x:row>
    <x:row r="30" ht="58" customHeight="1">
      <x:c r="A30" s="86" t="str">
        <x:v>T26</x:v>
      </x:c>
      <x:c r="B30" s="86" t="str">
        <x:v>阶段3 测量</x:v>
      </x:c>
      <x:c r="C30" s="86" t="str">
        <x:v>最近点测量</x:v>
      </x:c>
      <x:c r="D30" s="86" t="str">
        <x:v>元素最近距离</x:v>
      </x:c>
      <x:c r="E30" s="86" t="str">
        <x:v>验证并加固构件-构件最近点：候选退化、精度阈值、单位与结果持久化</x:v>
      </x:c>
      <x:c r="F30" s="86" t="str">
        <x:v>plant3d-web useDtxTools</x:v>
      </x:c>
      <x:c r="G30" s="86" t="str">
        <x:v>前端/3D</x:v>
      </x:c>
      <x:c r="H30" s="87" t="n">
        <x:v>46225.166666666664</x:v>
      </x:c>
      <x:c r="I30" s="87" t="n">
        <x:v>46226.166666666664</x:v>
      </x:c>
      <x:c r="J30" s="106" t="n">
        <x:f>NETWORKDAYS(H30,I30)</x:f>
        <x:v>2</x:v>
      </x:c>
      <x:c r="K30" s="106" t="n">
        <x:v>2</x:v>
      </x:c>
      <x:c r="L30" s="86" t="str">
        <x:v>T25</x:v>
      </x:c>
      <x:c r="M30" s="86" t="str">
        <x:v>P1</x:v>
      </x:c>
      <x:c r="N30" s="86" t="str">
        <x:v>未开始</x:v>
      </x:c>
      <x:c r="O30" s="86" t="str">
        <x:v>构件最近点工具</x:v>
      </x:c>
      <x:c r="P30" s="86" t="str">
        <x:v>与已知几何基准误差在约定阈值内</x:v>
      </x:c>
    </x:row>
    <x:row r="31" ht="58" customHeight="1">
      <x:c r="A31" s="86" t="str">
        <x:v>T27</x:v>
      </x:c>
      <x:c r="B31" s="86" t="str">
        <x:v>阶段3 测量</x:v>
      </x:c>
      <x:c r="C31" s="86" t="str">
        <x:v>管道净距</x:v>
      </x:c>
      <x:c r="D31" s="86" t="str">
        <x:v>管道-结构</x:v>
      </x:c>
      <x:c r="E31" s="86" t="str">
        <x:v>在 AABB 粗筛后增加管道外包络到 beam/slab/column/wall 的窄相位精算</x:v>
      </x:c>
      <x:c r="F31" s="86" t="str">
        <x:v>plant-model-gen + plant3d-web</x:v>
      </x:c>
      <x:c r="G31" s="86" t="str">
        <x:v>后端/Rust</x:v>
      </x:c>
      <x:c r="H31" s="87" t="n">
        <x:v>46227.166666666664</x:v>
      </x:c>
      <x:c r="I31" s="87" t="n">
        <x:v>46232.166666666664</x:v>
      </x:c>
      <x:c r="J31" s="106" t="n">
        <x:f>NETWORKDAYS(H31,I31)</x:f>
        <x:v>4</x:v>
      </x:c>
      <x:c r="K31" s="106" t="n">
        <x:v>4</x:v>
      </x:c>
      <x:c r="L31" s="86" t="str">
        <x:v>T10,T25</x:v>
      </x:c>
      <x:c r="M31" s="86" t="str">
        <x:v>P0</x:v>
      </x:c>
      <x:c r="N31" s="86" t="str">
        <x:v>未开始</x:v>
      </x:c>
      <x:c r="O31" s="86" t="str">
        <x:v>四类结构净距 API/标注</x:v>
      </x:c>
      <x:c r="P31" s="86" t="str">
        <x:v>返回真实最近点、净距、refno；相交为 0/负值策略明确</x:v>
      </x:c>
    </x:row>
    <x:row r="32" ht="58" customHeight="1">
      <x:c r="A32" s="86" t="str">
        <x:v>T28</x:v>
      </x:c>
      <x:c r="B32" s="86" t="str">
        <x:v>阶段3 测量</x:v>
      </x:c>
      <x:c r="C32" s="86" t="str">
        <x:v>管道净距</x:v>
      </x:c>
      <x:c r="D32" s="86" t="str">
        <x:v>管道-管道</x:v>
      </x:c>
      <x:c r="E32" s="86" t="str">
        <x:v>真实多 BRAN 验收、去重、平行阈值/距离阈值与批量标注性能收口</x:v>
      </x:c>
      <x:c r="F32" s="86" t="str">
        <x:v>plant3d-web clearance</x:v>
      </x:c>
      <x:c r="G32" s="86" t="str">
        <x:v>前端/3D</x:v>
      </x:c>
      <x:c r="H32" s="87" t="n">
        <x:v>46233.166666666664</x:v>
      </x:c>
      <x:c r="I32" s="87" t="n">
        <x:v>46234.166666666664</x:v>
      </x:c>
      <x:c r="J32" s="106" t="n">
        <x:f>NETWORKDAYS(H32,I32)</x:f>
        <x:v>2</x:v>
      </x:c>
      <x:c r="K32" s="106" t="n">
        <x:v>2</x:v>
      </x:c>
      <x:c r="L32" s="86" t="str">
        <x:v>T27</x:v>
      </x:c>
      <x:c r="M32" s="86" t="str">
        <x:v>P0</x:v>
      </x:c>
      <x:c r="N32" s="86" t="str">
        <x:v>未开始</x:v>
      </x:c>
      <x:c r="O32" s="86" t="str">
        <x:v>管间净距生产化</x:v>
      </x:c>
      <x:c r="P32" s="86" t="str">
        <x:v>不重复标注；阈值可配；结果可定位</x:v>
      </x:c>
    </x:row>
    <x:row r="33" ht="58" customHeight="1">
      <x:c r="A33" s="86" t="str">
        <x:v>T29</x:v>
      </x:c>
      <x:c r="B33" s="86" t="str">
        <x:v>阶段3 测量</x:v>
      </x:c>
      <x:c r="C33" s="86" t="str">
        <x:v>管道标注</x:v>
      </x:c>
      <x:c r="D33" s="86" t="str">
        <x:v>字段审计</x:v>
      </x:c>
      <x:c r="E33" s="86" t="str">
        <x:v>对照 ISO 审计标高、结构/管间距、直径、长度、材质、包络字段与单位</x:v>
      </x:c>
      <x:c r="F33" s="86" t="str">
        <x:v>两仓 MBD API</x:v>
      </x:c>
      <x:c r="G33" s="86" t="str">
        <x:v>QA/联调</x:v>
      </x:c>
      <x:c r="H33" s="87" t="n">
        <x:v>46232.166666666664</x:v>
      </x:c>
      <x:c r="I33" s="87" t="n">
        <x:v>46234.166666666664</x:v>
      </x:c>
      <x:c r="J33" s="106" t="n">
        <x:f>NETWORKDAYS(H33,I33)</x:f>
        <x:v>3</x:v>
      </x:c>
      <x:c r="K33" s="106" t="n">
        <x:v>3</x:v>
      </x:c>
      <x:c r="L33" s="86" t="str">
        <x:v>T27</x:v>
      </x:c>
      <x:c r="M33" s="86" t="str">
        <x:v>P0</x:v>
      </x:c>
      <x:c r="N33" s="86" t="str">
        <x:v>未开始</x:v>
      </x:c>
      <x:c r="O33" s="86" t="str">
        <x:v>字段差异清单</x:v>
      </x:c>
      <x:c r="P33" s="86" t="str">
        <x:v>每一字段有来源、单位和 ISO 对照结果</x:v>
      </x:c>
    </x:row>
    <x:row r="34" ht="58" customHeight="1">
      <x:c r="A34" s="86" t="str">
        <x:v>T30</x:v>
      </x:c>
      <x:c r="B34" s="86" t="str">
        <x:v>阶段3 测量</x:v>
      </x:c>
      <x:c r="C34" s="86" t="str">
        <x:v>管道标注</x:v>
      </x:c>
      <x:c r="D34" s="86" t="str">
        <x:v>缺口补齐</x:v>
      </x:c>
      <x:c r="E34" s="86" t="str">
        <x:v>只补字段审计确认的缺口，并复用现有 MBD V2 DTO/布局避免新体系</x:v>
      </x:c>
      <x:c r="F34" s="86" t="str">
        <x:v>plant3d-web + plant-model-gen</x:v>
      </x:c>
      <x:c r="G34" s="86" t="str">
        <x:v>前端/3D</x:v>
      </x:c>
      <x:c r="H34" s="87" t="n">
        <x:v>46237.166666666664</x:v>
      </x:c>
      <x:c r="I34" s="87" t="n">
        <x:v>46238.166666666664</x:v>
      </x:c>
      <x:c r="J34" s="106" t="n">
        <x:f>NETWORKDAYS(H34,I34)</x:f>
        <x:v>2</x:v>
      </x:c>
      <x:c r="K34" s="106" t="n">
        <x:v>2</x:v>
      </x:c>
      <x:c r="L34" s="86" t="str">
        <x:v>T28,T29</x:v>
      </x:c>
      <x:c r="M34" s="86" t="str">
        <x:v>P0</x:v>
      </x:c>
      <x:c r="N34" s="86" t="str">
        <x:v>未开始</x:v>
      </x:c>
      <x:c r="O34" s="86" t="str">
        <x:v>管道标注完成版</x:v>
      </x:c>
      <x:c r="P34" s="86" t="str">
        <x:v>BRAN 样例字段齐全、布局可读、单位一致</x:v>
      </x:c>
    </x:row>
    <x:row r="35" ht="58" customHeight="1">
      <x:c r="A35" s="86" t="str">
        <x:v>T31</x:v>
      </x:c>
      <x:c r="B35" s="86" t="str">
        <x:v>阶段4 收口</x:v>
      </x:c>
      <x:c r="C35" s="86" t="str">
        <x:v>质量回归</x:v>
      </x:c>
      <x:c r="D35" s="86" t="str">
        <x:v>全部</x:v>
      </x:c>
      <x:c r="E35" s="86" t="str">
        <x:v>执行全量 type-check/lint/unit、双胞胎面板、版本/空间/测量专项测试</x:v>
      </x:c>
      <x:c r="F35" s="86" t="str">
        <x:v>两仓</x:v>
      </x:c>
      <x:c r="G35" s="86" t="str">
        <x:v>QA/联调</x:v>
      </x:c>
      <x:c r="H35" s="87" t="n">
        <x:v>46237.166666666664</x:v>
      </x:c>
      <x:c r="I35" s="87" t="n">
        <x:v>46238.166666666664</x:v>
      </x:c>
      <x:c r="J35" s="106" t="n">
        <x:f>NETWORKDAYS(H35,I35)</x:f>
        <x:v>2</x:v>
      </x:c>
      <x:c r="K35" s="106" t="n">
        <x:v>2</x:v>
      </x:c>
      <x:c r="L35" s="86" t="str">
        <x:v>T16,T19,T24,T30</x:v>
      </x:c>
      <x:c r="M35" s="86" t="str">
        <x:v>P0</x:v>
      </x:c>
      <x:c r="N35" s="86" t="str">
        <x:v>未开始</x:v>
      </x:c>
      <x:c r="O35" s="86" t="str">
        <x:v>回归报告</x:v>
      </x:c>
      <x:c r="P35" s="86" t="str">
        <x:v>无新增失败；阻断缺陷清零</x:v>
      </x:c>
    </x:row>
    <x:row r="36" ht="58" customHeight="1">
      <x:c r="A36" s="86" t="str">
        <x:v>T32</x:v>
      </x:c>
      <x:c r="B36" s="86" t="str">
        <x:v>阶段4 收口</x:v>
      </x:c>
      <x:c r="C36" s="86" t="str">
        <x:v>PMS 联调</x:v>
      </x:c>
      <x:c r="D36" s="86" t="str">
        <x:v>三维校审</x:v>
      </x:c>
      <x:c r="E36" s="86" t="str">
        <x:v>实跑 PMS extended：SJ 发起→JH 校核→SH→PZ，并核对批注/附件/测量留痕</x:v>
      </x:c>
      <x:c r="F36" s="86" t="str">
        <x:v>plant3d-web + PMS</x:v>
      </x:c>
      <x:c r="G36" s="86" t="str">
        <x:v>QA/联调</x:v>
      </x:c>
      <x:c r="H36" s="87" t="n">
        <x:v>46239.166666666664</x:v>
      </x:c>
      <x:c r="I36" s="87" t="n">
        <x:v>46239.166666666664</x:v>
      </x:c>
      <x:c r="J36" s="106" t="n">
        <x:f>NETWORKDAYS(H36,I36)</x:f>
        <x:v>1</x:v>
      </x:c>
      <x:c r="K36" s="106" t="n">
        <x:v>1</x:v>
      </x:c>
      <x:c r="L36" s="86" t="str">
        <x:v>T31</x:v>
      </x:c>
      <x:c r="M36" s="86" t="str">
        <x:v>P0</x:v>
      </x:c>
      <x:c r="N36" s="86" t="str">
        <x:v>未开始</x:v>
      </x:c>
      <x:c r="O36" s="86" t="str">
        <x:v>PMS E2E 证据</x:v>
      </x:c>
      <x:c r="P36" s="86" t="str">
        <x:v>全角色链路通过；不在报告暴露密码</x:v>
      </x:c>
    </x:row>
    <x:row r="37" ht="58" customHeight="1">
      <x:c r="A37" s="86" t="str">
        <x:v>T33</x:v>
      </x:c>
      <x:c r="B37" s="86" t="str">
        <x:v>阶段4 收口</x:v>
      </x:c>
      <x:c r="C37" s="86" t="str">
        <x:v>UAT</x:v>
      </x:c>
      <x:c r="D37" s="86" t="str">
        <x:v>图片全部功能</x:v>
      </x:c>
      <x:c r="E37" s="86" t="str">
        <x:v>按 12 项功能矩阵在真实数据上 UAT，集中修复阻断/严重缺陷</x:v>
      </x:c>
      <x:c r="F37" s="86" t="str">
        <x:v>两仓</x:v>
      </x:c>
      <x:c r="G37" s="86" t="str">
        <x:v>QA/联调</x:v>
      </x:c>
      <x:c r="H37" s="87" t="n">
        <x:v>46240.166666666664</x:v>
      </x:c>
      <x:c r="I37" s="87" t="n">
        <x:v>46241.166666666664</x:v>
      </x:c>
      <x:c r="J37" s="106" t="n">
        <x:f>NETWORKDAYS(H37,I37)</x:f>
        <x:v>2</x:v>
      </x:c>
      <x:c r="K37" s="106" t="n">
        <x:v>2</x:v>
      </x:c>
      <x:c r="L37" s="86" t="str">
        <x:v>T32</x:v>
      </x:c>
      <x:c r="M37" s="86" t="str">
        <x:v>P0</x:v>
      </x:c>
      <x:c r="N37" s="86" t="str">
        <x:v>未开始</x:v>
      </x:c>
      <x:c r="O37" s="86" t="str">
        <x:v>UAT 签字与缺陷闭环</x:v>
      </x:c>
      <x:c r="P37" s="86" t="str">
        <x:v>12 项全部有证据；P0/P1 缺陷关闭</x:v>
      </x:c>
    </x:row>
    <x:row r="38" ht="58" customHeight="1">
      <x:c r="A38" s="86" t="str">
        <x:v>T34</x:v>
      </x:c>
      <x:c r="B38" s="86" t="str">
        <x:v>阶段4 收口</x:v>
      </x:c>
      <x:c r="C38" s="86" t="str">
        <x:v>非功能</x:v>
      </x:c>
      <x:c r="D38" s="86" t="str">
        <x:v>性能稳定性</x:v>
      </x:c>
      <x:c r="E38" s="86" t="str">
        <x:v>版本对比、范围裁剪、批量净距、连续测量的内存/GPU/响应时间回归</x:v>
      </x:c>
      <x:c r="F38" s="86" t="str">
        <x:v>plant3d-web</x:v>
      </x:c>
      <x:c r="G38" s="86" t="str">
        <x:v>前端/3D</x:v>
      </x:c>
      <x:c r="H38" s="87" t="n">
        <x:v>46240.166666666664</x:v>
      </x:c>
      <x:c r="I38" s="87" t="n">
        <x:v>46240.166666666664</x:v>
      </x:c>
      <x:c r="J38" s="106" t="n">
        <x:f>NETWORKDAYS(H38,I38)</x:f>
        <x:v>1</x:v>
      </x:c>
      <x:c r="K38" s="106" t="n">
        <x:v>1</x:v>
      </x:c>
      <x:c r="L38" s="86" t="str">
        <x:v>T31</x:v>
      </x:c>
      <x:c r="M38" s="86" t="str">
        <x:v>P1</x:v>
      </x:c>
      <x:c r="N38" s="86" t="str">
        <x:v>未开始</x:v>
      </x:c>
      <x:c r="O38" s="86" t="str">
        <x:v>性能基线</x:v>
      </x:c>
      <x:c r="P38" s="86" t="str">
        <x:v>反复操作无资源增长趋势或崩溃</x:v>
      </x:c>
    </x:row>
    <x:row r="39" ht="58" customHeight="1">
      <x:c r="A39" s="86" t="str">
        <x:v>T35</x:v>
      </x:c>
      <x:c r="B39" s="86" t="str">
        <x:v>阶段4 收口</x:v>
      </x:c>
      <x:c r="C39" s="86" t="str">
        <x:v>发布准备</x:v>
      </x:c>
      <x:c r="D39" s="86" t="str">
        <x:v>全部</x:v>
      </x:c>
      <x:c r="E39" s="86" t="str">
        <x:v>更新操作文档、发布说明、配置清单、迁移与回滚步骤</x:v>
      </x:c>
      <x:c r="F39" s="86" t="str">
        <x:v>docs + 部署脚本</x:v>
      </x:c>
      <x:c r="G39" s="86" t="str">
        <x:v>产品/架构</x:v>
      </x:c>
      <x:c r="H39" s="87" t="n">
        <x:v>46241.166666666664</x:v>
      </x:c>
      <x:c r="I39" s="87" t="n">
        <x:v>46241.166666666664</x:v>
      </x:c>
      <x:c r="J39" s="106" t="n">
        <x:f>NETWORKDAYS(H39,I39)</x:f>
        <x:v>1</x:v>
      </x:c>
      <x:c r="K39" s="106" t="n">
        <x:v>1</x:v>
      </x:c>
      <x:c r="L39" s="86" t="str">
        <x:v>T33,T34</x:v>
      </x:c>
      <x:c r="M39" s="86" t="str">
        <x:v>P0</x:v>
      </x:c>
      <x:c r="N39" s="86" t="str">
        <x:v>未开始</x:v>
      </x:c>
      <x:c r="O39" s="86" t="str">
        <x:v>发布包说明</x:v>
      </x:c>
      <x:c r="P39" s="86" t="str">
        <x:v>按文档可部署/回滚；配置项无密钥</x:v>
      </x:c>
    </x:row>
    <x:row r="40" ht="58" customHeight="1">
      <x:c r="A40" s="86" t="str">
        <x:v>T36</x:v>
      </x:c>
      <x:c r="B40" s="86" t="str">
        <x:v>阶段4 收口</x:v>
      </x:c>
      <x:c r="C40" s="86" t="str">
        <x:v>发布</x:v>
      </x:c>
      <x:c r="D40" s="86" t="str">
        <x:v>全部</x:v>
      </x:c>
      <x:c r="E40" s="86" t="str">
        <x:v>最终验收会、版本标记、部署与上线后冒烟</x:v>
      </x:c>
      <x:c r="F40" s="86" t="str">
        <x:v>两仓 + PMS</x:v>
      </x:c>
      <x:c r="G40" s="86" t="str">
        <x:v>项目组</x:v>
      </x:c>
      <x:c r="H40" s="87" t="n">
        <x:v>46244.166666666664</x:v>
      </x:c>
      <x:c r="I40" s="87" t="n">
        <x:v>46244.166666666664</x:v>
      </x:c>
      <x:c r="J40" s="106" t="n">
        <x:f>NETWORKDAYS(H40,I40)</x:f>
        <x:v>1</x:v>
      </x:c>
      <x:c r="K40" s="106" t="n">
        <x:v>1</x:v>
      </x:c>
      <x:c r="L40" s="86" t="str">
        <x:v>T35</x:v>
      </x:c>
      <x:c r="M40" s="86" t="str">
        <x:v>P0</x:v>
      </x:c>
      <x:c r="N40" s="86" t="str">
        <x:v>未开始</x:v>
      </x:c>
      <x:c r="O40" s="86" t="str">
        <x:v>8月10日发布</x:v>
      </x:c>
      <x:c r="P40" s="86" t="str">
        <x:v>上线冒烟通过并归档证据</x:v>
      </x:c>
    </x:row>
  </x:sheetData>
  <x:mergeCells>
    <x:mergeCell ref="A1:P1"/>
    <x:mergeCell ref="A2:P2"/>
  </x:mergeCells>
  <x:conditionalFormatting sqref="M5:M40">
    <x:cfRule type="containsText" dxfId="3" priority="1" operator="containsText" text="P0"/>
    <x:cfRule type="containsText" dxfId="4" priority="2" operator="containsText" text="P1"/>
  </x:conditionalFormatting>
  <x:conditionalFormatting sqref="N5:N40">
    <x:cfRule type="containsText" dxfId="5" priority="3" operator="containsText" text="进行中"/>
    <x:cfRule type="containsText" dxfId="6" priority="4" operator="containsText" text="已完成"/>
    <x:cfRule type="containsText" dxfId="7" priority="5" operator="containsText" text="阻塞"/>
  </x:conditionalFormatting>
  <x:dataValidations count="2">
    <x:dataValidation type="list" sqref="M5:M40">
      <x:formula1>"P0,P1,P2"</x:formula1>
    </x:dataValidation>
    <x:dataValidation type="list" sqref="N5:N40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9865e993ce40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14" hidden="0" customWidth="1"/>
    <x:col min="4" max="4" width="12" hidden="0" customWidth="1"/>
    <x:col min="5" max="5" width="12" hidden="0" customWidth="1"/>
    <x:col min="6" max="6" width="11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</x:cols>
  <x:sheetData>
    <x:row r="1" ht="32" customHeight="1">
      <x:c r="A1" s="73" t="str">
        <x:v>工作日甘特图</x:v>
      </x:c>
      <x:c r="B1" s="73" t="str">
        <x:v>工作日甘特图</x:v>
      </x:c>
      <x:c r="C1" s="73" t="str">
        <x:v>工作日甘特图</x:v>
      </x:c>
      <x:c r="D1" s="73" t="str">
        <x:v>工作日甘特图</x:v>
      </x:c>
      <x:c r="E1" s="73" t="str">
        <x:v>工作日甘特图</x:v>
      </x:c>
      <x:c r="F1" s="73" t="str">
        <x:v>工作日甘特图</x:v>
      </x:c>
      <x:c r="G1" s="73" t="str">
        <x:v>工作日甘特图</x:v>
      </x:c>
      <x:c r="H1" s="73" t="str">
        <x:v>工作日甘特图</x:v>
      </x:c>
      <x:c r="I1" s="73" t="str">
        <x:v>工作日甘特图</x:v>
      </x:c>
      <x:c r="J1" s="73" t="str">
        <x:v>工作日甘特图</x:v>
      </x:c>
      <x:c r="K1" s="73" t="str">
        <x:v>工作日甘特图</x:v>
      </x:c>
      <x:c r="L1" s="73" t="str">
        <x:v>工作日甘特图</x:v>
      </x:c>
      <x:c r="M1" s="73" t="str">
        <x:v>工作日甘特图</x:v>
      </x:c>
      <x:c r="N1" s="73" t="str">
        <x:v>工作日甘特图</x:v>
      </x:c>
      <x:c r="O1" s="73" t="str">
        <x:v>工作日甘特图</x:v>
      </x:c>
      <x:c r="P1" s="73" t="str">
        <x:v>工作日甘特图</x:v>
      </x:c>
      <x:c r="Q1" s="73" t="str">
        <x:v>工作日甘特图</x:v>
      </x:c>
      <x:c r="R1" s="73" t="str">
        <x:v>工作日甘特图</x:v>
      </x:c>
      <x:c r="S1" s="73" t="str">
        <x:v>工作日甘特图</x:v>
      </x:c>
      <x:c r="T1" s="73" t="str">
        <x:v>工作日甘特图</x:v>
      </x:c>
      <x:c r="U1" s="73" t="str">
        <x:v>工作日甘特图</x:v>
      </x:c>
      <x:c r="V1" s="73" t="str">
        <x:v>工作日甘特图</x:v>
      </x:c>
      <x:c r="W1" s="73" t="str">
        <x:v>工作日甘特图</x:v>
      </x:c>
      <x:c r="X1" s="73" t="str">
        <x:v>工作日甘特图</x:v>
      </x:c>
      <x:c r="Y1" s="73" t="str">
        <x:v>工作日甘特图</x:v>
      </x:c>
      <x:c r="Z1" s="73" t="str">
        <x:v>工作日甘特图</x:v>
      </x:c>
    </x:row>
    <x:row r="2" ht="28" customHeight="1">
      <x:c r="A2" s="74" t="str">
        <x:v>颜色按工作流区分；横轴仅列工作日。日期区间与开发排期联动。</x:v>
      </x:c>
      <x:c r="B2" s="74" t="str">
        <x:v>颜色按工作流区分；横轴仅列工作日。日期区间与开发排期联动。</x:v>
      </x:c>
      <x:c r="C2" s="74" t="str">
        <x:v>颜色按工作流区分；横轴仅列工作日。日期区间与开发排期联动。</x:v>
      </x:c>
      <x:c r="D2" s="74" t="str">
        <x:v>颜色按工作流区分；横轴仅列工作日。日期区间与开发排期联动。</x:v>
      </x:c>
      <x:c r="E2" s="74" t="str">
        <x:v>颜色按工作流区分；横轴仅列工作日。日期区间与开发排期联动。</x:v>
      </x:c>
      <x:c r="F2" s="74" t="str">
        <x:v>颜色按工作流区分；横轴仅列工作日。日期区间与开发排期联动。</x:v>
      </x:c>
      <x:c r="G2" s="74" t="str">
        <x:v>颜色按工作流区分；横轴仅列工作日。日期区间与开发排期联动。</x:v>
      </x:c>
      <x:c r="H2" s="74" t="str">
        <x:v>颜色按工作流区分；横轴仅列工作日。日期区间与开发排期联动。</x:v>
      </x:c>
      <x:c r="I2" s="74" t="str">
        <x:v>颜色按工作流区分；横轴仅列工作日。日期区间与开发排期联动。</x:v>
      </x:c>
      <x:c r="J2" s="74" t="str">
        <x:v>颜色按工作流区分；横轴仅列工作日。日期区间与开发排期联动。</x:v>
      </x:c>
      <x:c r="K2" s="74" t="str">
        <x:v>颜色按工作流区分；横轴仅列工作日。日期区间与开发排期联动。</x:v>
      </x:c>
      <x:c r="L2" s="74" t="str">
        <x:v>颜色按工作流区分；横轴仅列工作日。日期区间与开发排期联动。</x:v>
      </x:c>
      <x:c r="M2" s="74" t="str">
        <x:v>颜色按工作流区分；横轴仅列工作日。日期区间与开发排期联动。</x:v>
      </x:c>
      <x:c r="N2" s="74" t="str">
        <x:v>颜色按工作流区分；横轴仅列工作日。日期区间与开发排期联动。</x:v>
      </x:c>
      <x:c r="O2" s="74" t="str">
        <x:v>颜色按工作流区分；横轴仅列工作日。日期区间与开发排期联动。</x:v>
      </x:c>
      <x:c r="P2" s="74" t="str">
        <x:v>颜色按工作流区分；横轴仅列工作日。日期区间与开发排期联动。</x:v>
      </x:c>
      <x:c r="Q2" s="74" t="str">
        <x:v>颜色按工作流区分；横轴仅列工作日。日期区间与开发排期联动。</x:v>
      </x:c>
      <x:c r="R2" s="74" t="str">
        <x:v>颜色按工作流区分；横轴仅列工作日。日期区间与开发排期联动。</x:v>
      </x:c>
      <x:c r="S2" s="74" t="str">
        <x:v>颜色按工作流区分；横轴仅列工作日。日期区间与开发排期联动。</x:v>
      </x:c>
      <x:c r="T2" s="74" t="str">
        <x:v>颜色按工作流区分；横轴仅列工作日。日期区间与开发排期联动。</x:v>
      </x:c>
      <x:c r="U2" s="74" t="str">
        <x:v>颜色按工作流区分；横轴仅列工作日。日期区间与开发排期联动。</x:v>
      </x:c>
      <x:c r="V2" s="74" t="str">
        <x:v>颜色按工作流区分；横轴仅列工作日。日期区间与开发排期联动。</x:v>
      </x:c>
      <x:c r="W2" s="74" t="str">
        <x:v>颜色按工作流区分；横轴仅列工作日。日期区间与开发排期联动。</x:v>
      </x:c>
      <x:c r="X2" s="74" t="str">
        <x:v>颜色按工作流区分；横轴仅列工作日。日期区间与开发排期联动。</x:v>
      </x:c>
      <x:c r="Y2" s="74" t="str">
        <x:v>颜色按工作流区分；横轴仅列工作日。日期区间与开发排期联动。</x:v>
      </x:c>
      <x:c r="Z2" s="74" t="str">
        <x:v>颜色按工作流区分；横轴仅列工作日。日期区间与开发排期联动。</x:v>
      </x:c>
    </x:row>
    <x:row r="3">
      <x:c r="A3" s="75"/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</x:row>
    <x:row r="4" ht="28" customHeight="1">
      <x:c r="A4" s="83" t="str">
        <x:v>ID</x:v>
      </x:c>
      <x:c r="B4" s="83" t="str">
        <x:v>任务</x:v>
      </x:c>
      <x:c r="C4" s="83" t="str">
        <x:v>主责</x:v>
      </x:c>
      <x:c r="D4" s="83" t="str">
        <x:v>开始</x:v>
      </x:c>
      <x:c r="E4" s="83" t="str">
        <x:v>结束</x:v>
      </x:c>
      <x:c r="F4" s="83" t="str">
        <x:v>状态</x:v>
      </x:c>
      <x:c r="G4" s="134" t="n">
        <x:v>46217.166666666664</x:v>
      </x:c>
      <x:c r="H4" s="134" t="n">
        <x:v>46218.166666666664</x:v>
      </x:c>
      <x:c r="I4" s="134" t="n">
        <x:v>46219.166666666664</x:v>
      </x:c>
      <x:c r="J4" s="134" t="n">
        <x:v>46220.166666666664</x:v>
      </x:c>
      <x:c r="K4" s="134" t="n">
        <x:v>46223.166666666664</x:v>
      </x:c>
      <x:c r="L4" s="134" t="n">
        <x:v>46224.166666666664</x:v>
      </x:c>
      <x:c r="M4" s="134" t="n">
        <x:v>46225.166666666664</x:v>
      </x:c>
      <x:c r="N4" s="134" t="n">
        <x:v>46226.166666666664</x:v>
      </x:c>
      <x:c r="O4" s="134" t="n">
        <x:v>46227.166666666664</x:v>
      </x:c>
      <x:c r="P4" s="134" t="n">
        <x:v>46230.166666666664</x:v>
      </x:c>
      <x:c r="Q4" s="134" t="n">
        <x:v>46231.166666666664</x:v>
      </x:c>
      <x:c r="R4" s="134" t="n">
        <x:v>46232.166666666664</x:v>
      </x:c>
      <x:c r="S4" s="134" t="n">
        <x:v>46233.166666666664</x:v>
      </x:c>
      <x:c r="T4" s="134" t="n">
        <x:v>46234.166666666664</x:v>
      </x:c>
      <x:c r="U4" s="134" t="n">
        <x:v>46237.166666666664</x:v>
      </x:c>
      <x:c r="V4" s="134" t="n">
        <x:v>46238.166666666664</x:v>
      </x:c>
      <x:c r="W4" s="134" t="n">
        <x:v>46239.166666666664</x:v>
      </x:c>
      <x:c r="X4" s="134" t="n">
        <x:v>46240.166666666664</x:v>
      </x:c>
      <x:c r="Y4" s="134" t="n">
        <x:v>46241.166666666664</x:v>
      </x:c>
      <x:c r="Z4" s="134" t="n">
        <x:v>46244.166666666664</x:v>
      </x:c>
    </x:row>
    <x:row r="5" ht="34" customHeight="1">
      <x:c r="A5" s="84" t="str">
        <x:v>T01</x:v>
      </x:c>
      <x:c r="B5" s="84" t="str">
        <x:v>盘点脏工作树、确认变更归属并建立集成分支/提交边界</x:v>
      </x:c>
      <x:c r="C5" s="84" t="str">
        <x:v>产品/架构</x:v>
      </x:c>
      <x:c r="D5" s="85" t="n">
        <x:v>46217.166666666664</x:v>
      </x:c>
      <x:c r="E5" s="85" t="n">
        <x:v>46217.166666666664</x:v>
      </x:c>
      <x:c r="F5" s="84" t="str">
        <x:v>未开始</x:v>
      </x:c>
      <x:c r="G5" s="135" t="str">
        <x:f>IF(AND(G$4&gt;=$D5,G$4&lt;=$E5),"■","")</x:f>
        <x:v>■</x:v>
      </x:c>
      <x:c r="H5" s="135" t="str">
        <x:f>IF(AND(H$4&gt;=$D5,H$4&lt;=$E5),"■","")</x:f>
      </x:c>
      <x:c r="I5" s="135" t="str">
        <x:f>IF(AND(I$4&gt;=$D5,I$4&lt;=$E5),"■","")</x:f>
      </x:c>
      <x:c r="J5" s="135" t="str">
        <x:f>IF(AND(J$4&gt;=$D5,J$4&lt;=$E5),"■","")</x:f>
      </x:c>
      <x:c r="K5" s="135" t="str">
        <x:f>IF(AND(K$4&gt;=$D5,K$4&lt;=$E5),"■","")</x:f>
      </x:c>
      <x:c r="L5" s="135" t="str">
        <x:f>IF(AND(L$4&gt;=$D5,L$4&lt;=$E5),"■","")</x:f>
      </x:c>
      <x:c r="M5" s="135" t="str">
        <x:f>IF(AND(M$4&gt;=$D5,M$4&lt;=$E5),"■","")</x:f>
      </x:c>
      <x:c r="N5" s="135" t="str">
        <x:f>IF(AND(N$4&gt;=$D5,N$4&lt;=$E5),"■","")</x:f>
      </x:c>
      <x:c r="O5" s="135" t="str">
        <x:f>IF(AND(O$4&gt;=$D5,O$4&lt;=$E5),"■","")</x:f>
      </x:c>
      <x:c r="P5" s="135" t="str">
        <x:f>IF(AND(P$4&gt;=$D5,P$4&lt;=$E5),"■","")</x:f>
      </x:c>
      <x:c r="Q5" s="135" t="str">
        <x:f>IF(AND(Q$4&gt;=$D5,Q$4&lt;=$E5),"■","")</x:f>
      </x:c>
      <x:c r="R5" s="135" t="str">
        <x:f>IF(AND(R$4&gt;=$D5,R$4&lt;=$E5),"■","")</x:f>
      </x:c>
      <x:c r="S5" s="135" t="str">
        <x:f>IF(AND(S$4&gt;=$D5,S$4&lt;=$E5),"■","")</x:f>
      </x:c>
      <x:c r="T5" s="135" t="str">
        <x:f>IF(AND(T$4&gt;=$D5,T$4&lt;=$E5),"■","")</x:f>
      </x:c>
      <x:c r="U5" s="135" t="str">
        <x:f>IF(AND(U$4&gt;=$D5,U$4&lt;=$E5),"■","")</x:f>
      </x:c>
      <x:c r="V5" s="135" t="str">
        <x:f>IF(AND(V$4&gt;=$D5,V$4&lt;=$E5),"■","")</x:f>
      </x:c>
      <x:c r="W5" s="135" t="str">
        <x:f>IF(AND(W$4&gt;=$D5,W$4&lt;=$E5),"■","")</x:f>
      </x:c>
      <x:c r="X5" s="135" t="str">
        <x:f>IF(AND(X$4&gt;=$D5,X$4&lt;=$E5),"■","")</x:f>
      </x:c>
      <x:c r="Y5" s="135" t="str">
        <x:f>IF(AND(Y$4&gt;=$D5,Y$4&lt;=$E5),"■","")</x:f>
      </x:c>
      <x:c r="Z5" s="135" t="str">
        <x:f>IF(AND(Z$4&gt;=$D5,Z$4&lt;=$E5),"■","")</x:f>
      </x:c>
    </x:row>
    <x:row r="6" ht="34" customHeight="1">
      <x:c r="A6" s="86" t="str">
        <x:v>T02</x:v>
      </x:c>
      <x:c r="B6" s="86" t="str">
        <x:v>统一 AMS DB1112 基准版本：消除 896→897 与 791→897 冲突，固化 release/fixture</x:v>
      </x:c>
      <x:c r="C6" s="86" t="str">
        <x:v>后端/Rust</x:v>
      </x:c>
      <x:c r="D6" s="87" t="n">
        <x:v>46217.166666666664</x:v>
      </x:c>
      <x:c r="E6" s="87" t="n">
        <x:v>46218.166666666664</x:v>
      </x:c>
      <x:c r="F6" s="86" t="str">
        <x:v>未开始</x:v>
      </x:c>
      <x:c r="G6" s="136" t="str">
        <x:f>IF(AND(G$4&gt;=$D6,G$4&lt;=$E6),"■","")</x:f>
        <x:v>■</x:v>
      </x:c>
      <x:c r="H6" s="136" t="str">
        <x:f>IF(AND(H$4&gt;=$D6,H$4&lt;=$E6),"■","")</x:f>
        <x:v>■</x:v>
      </x:c>
      <x:c r="I6" s="136" t="str">
        <x:f>IF(AND(I$4&gt;=$D6,I$4&lt;=$E6),"■","")</x:f>
      </x:c>
      <x:c r="J6" s="136" t="str">
        <x:f>IF(AND(J$4&gt;=$D6,J$4&lt;=$E6),"■","")</x:f>
      </x:c>
      <x:c r="K6" s="136" t="str">
        <x:f>IF(AND(K$4&gt;=$D6,K$4&lt;=$E6),"■","")</x:f>
      </x:c>
      <x:c r="L6" s="136" t="str">
        <x:f>IF(AND(L$4&gt;=$D6,L$4&lt;=$E6),"■","")</x:f>
      </x:c>
      <x:c r="M6" s="136" t="str">
        <x:f>IF(AND(M$4&gt;=$D6,M$4&lt;=$E6),"■","")</x:f>
      </x:c>
      <x:c r="N6" s="136" t="str">
        <x:f>IF(AND(N$4&gt;=$D6,N$4&lt;=$E6),"■","")</x:f>
      </x:c>
      <x:c r="O6" s="136" t="str">
        <x:f>IF(AND(O$4&gt;=$D6,O$4&lt;=$E6),"■","")</x:f>
      </x:c>
      <x:c r="P6" s="136" t="str">
        <x:f>IF(AND(P$4&gt;=$D6,P$4&lt;=$E6),"■","")</x:f>
      </x:c>
      <x:c r="Q6" s="136" t="str">
        <x:f>IF(AND(Q$4&gt;=$D6,Q$4&lt;=$E6),"■","")</x:f>
      </x:c>
      <x:c r="R6" s="136" t="str">
        <x:f>IF(AND(R$4&gt;=$D6,R$4&lt;=$E6),"■","")</x:f>
      </x:c>
      <x:c r="S6" s="136" t="str">
        <x:f>IF(AND(S$4&gt;=$D6,S$4&lt;=$E6),"■","")</x:f>
      </x:c>
      <x:c r="T6" s="136" t="str">
        <x:f>IF(AND(T$4&gt;=$D6,T$4&lt;=$E6),"■","")</x:f>
      </x:c>
      <x:c r="U6" s="136" t="str">
        <x:f>IF(AND(U$4&gt;=$D6,U$4&lt;=$E6),"■","")</x:f>
      </x:c>
      <x:c r="V6" s="136" t="str">
        <x:f>IF(AND(V$4&gt;=$D6,V$4&lt;=$E6),"■","")</x:f>
      </x:c>
      <x:c r="W6" s="136" t="str">
        <x:f>IF(AND(W$4&gt;=$D6,W$4&lt;=$E6),"■","")</x:f>
      </x:c>
      <x:c r="X6" s="136" t="str">
        <x:f>IF(AND(X$4&gt;=$D6,X$4&lt;=$E6),"■","")</x:f>
      </x:c>
      <x:c r="Y6" s="136" t="str">
        <x:f>IF(AND(Y$4&gt;=$D6,Y$4&lt;=$E6),"■","")</x:f>
      </x:c>
      <x:c r="Z6" s="136" t="str">
        <x:f>IF(AND(Z$4&gt;=$D6,Z$4&lt;=$E6),"■","")</x:f>
      </x:c>
    </x:row>
    <x:row r="7" ht="34" customHeight="1">
      <x:c r="A7" s="86" t="str">
        <x:v>T03</x:v>
      </x:c>
      <x:c r="B7" s="86" t="str">
        <x:v>将图片 12 项转成验收矩阵并绑定真实数据集/角色/证据</x:v>
      </x:c>
      <x:c r="C7" s="86" t="str">
        <x:v>QA/联调</x:v>
      </x:c>
      <x:c r="D7" s="87" t="n">
        <x:v>46217.166666666664</x:v>
      </x:c>
      <x:c r="E7" s="87" t="n">
        <x:v>46218.166666666664</x:v>
      </x:c>
      <x:c r="F7" s="86" t="str">
        <x:v>未开始</x:v>
      </x:c>
      <x:c r="G7" s="135" t="str">
        <x:f>IF(AND(G$4&gt;=$D7,G$4&lt;=$E7),"■","")</x:f>
        <x:v>■</x:v>
      </x:c>
      <x:c r="H7" s="135" t="str">
        <x:f>IF(AND(H$4&gt;=$D7,H$4&lt;=$E7),"■","")</x:f>
        <x:v>■</x:v>
      </x:c>
      <x:c r="I7" s="135" t="str">
        <x:f>IF(AND(I$4&gt;=$D7,I$4&lt;=$E7),"■","")</x:f>
      </x:c>
      <x:c r="J7" s="135" t="str">
        <x:f>IF(AND(J$4&gt;=$D7,J$4&lt;=$E7),"■","")</x:f>
      </x:c>
      <x:c r="K7" s="135" t="str">
        <x:f>IF(AND(K$4&gt;=$D7,K$4&lt;=$E7),"■","")</x:f>
      </x:c>
      <x:c r="L7" s="135" t="str">
        <x:f>IF(AND(L$4&gt;=$D7,L$4&lt;=$E7),"■","")</x:f>
      </x:c>
      <x:c r="M7" s="135" t="str">
        <x:f>IF(AND(M$4&gt;=$D7,M$4&lt;=$E7),"■","")</x:f>
      </x:c>
      <x:c r="N7" s="135" t="str">
        <x:f>IF(AND(N$4&gt;=$D7,N$4&lt;=$E7),"■","")</x:f>
      </x:c>
      <x:c r="O7" s="135" t="str">
        <x:f>IF(AND(O$4&gt;=$D7,O$4&lt;=$E7),"■","")</x:f>
      </x:c>
      <x:c r="P7" s="135" t="str">
        <x:f>IF(AND(P$4&gt;=$D7,P$4&lt;=$E7),"■","")</x:f>
      </x:c>
      <x:c r="Q7" s="135" t="str">
        <x:f>IF(AND(Q$4&gt;=$D7,Q$4&lt;=$E7),"■","")</x:f>
      </x:c>
      <x:c r="R7" s="135" t="str">
        <x:f>IF(AND(R$4&gt;=$D7,R$4&lt;=$E7),"■","")</x:f>
      </x:c>
      <x:c r="S7" s="135" t="str">
        <x:f>IF(AND(S$4&gt;=$D7,S$4&lt;=$E7),"■","")</x:f>
      </x:c>
      <x:c r="T7" s="135" t="str">
        <x:f>IF(AND(T$4&gt;=$D7,T$4&lt;=$E7),"■","")</x:f>
      </x:c>
      <x:c r="U7" s="135" t="str">
        <x:f>IF(AND(U$4&gt;=$D7,U$4&lt;=$E7),"■","")</x:f>
      </x:c>
      <x:c r="V7" s="135" t="str">
        <x:f>IF(AND(V$4&gt;=$D7,V$4&lt;=$E7),"■","")</x:f>
      </x:c>
      <x:c r="W7" s="135" t="str">
        <x:f>IF(AND(W$4&gt;=$D7,W$4&lt;=$E7),"■","")</x:f>
      </x:c>
      <x:c r="X7" s="135" t="str">
        <x:f>IF(AND(X$4&gt;=$D7,X$4&lt;=$E7),"■","")</x:f>
      </x:c>
      <x:c r="Y7" s="135" t="str">
        <x:f>IF(AND(Y$4&gt;=$D7,Y$4&lt;=$E7),"■","")</x:f>
      </x:c>
      <x:c r="Z7" s="135" t="str">
        <x:f>IF(AND(Z$4&gt;=$D7,Z$4&lt;=$E7),"■","")</x:f>
      </x:c>
    </x:row>
    <x:row r="8" ht="34" customHeight="1">
      <x:c r="A8" s="86" t="str">
        <x:v>T04</x:v>
      </x:c>
      <x:c r="B8" s="86" t="str">
        <x:v>执行 type-check、lint、单测、双胞胎面板与关键 E2E，记录 baseline pass/fail</x:v>
      </x:c>
      <x:c r="C8" s="86" t="str">
        <x:v>QA/联调</x:v>
      </x:c>
      <x:c r="D8" s="87" t="n">
        <x:v>46217.166666666664</x:v>
      </x:c>
      <x:c r="E8" s="87" t="n">
        <x:v>46218.166666666664</x:v>
      </x:c>
      <x:c r="F8" s="86" t="str">
        <x:v>未开始</x:v>
      </x:c>
      <x:c r="G8" s="135" t="str">
        <x:f>IF(AND(G$4&gt;=$D8,G$4&lt;=$E8),"■","")</x:f>
        <x:v>■</x:v>
      </x:c>
      <x:c r="H8" s="135" t="str">
        <x:f>IF(AND(H$4&gt;=$D8,H$4&lt;=$E8),"■","")</x:f>
        <x:v>■</x:v>
      </x:c>
      <x:c r="I8" s="135" t="str">
        <x:f>IF(AND(I$4&gt;=$D8,I$4&lt;=$E8),"■","")</x:f>
      </x:c>
      <x:c r="J8" s="135" t="str">
        <x:f>IF(AND(J$4&gt;=$D8,J$4&lt;=$E8),"■","")</x:f>
      </x:c>
      <x:c r="K8" s="135" t="str">
        <x:f>IF(AND(K$4&gt;=$D8,K$4&lt;=$E8),"■","")</x:f>
      </x:c>
      <x:c r="L8" s="135" t="str">
        <x:f>IF(AND(L$4&gt;=$D8,L$4&lt;=$E8),"■","")</x:f>
      </x:c>
      <x:c r="M8" s="135" t="str">
        <x:f>IF(AND(M$4&gt;=$D8,M$4&lt;=$E8),"■","")</x:f>
      </x:c>
      <x:c r="N8" s="135" t="str">
        <x:f>IF(AND(N$4&gt;=$D8,N$4&lt;=$E8),"■","")</x:f>
      </x:c>
      <x:c r="O8" s="135" t="str">
        <x:f>IF(AND(O$4&gt;=$D8,O$4&lt;=$E8),"■","")</x:f>
      </x:c>
      <x:c r="P8" s="135" t="str">
        <x:f>IF(AND(P$4&gt;=$D8,P$4&lt;=$E8),"■","")</x:f>
      </x:c>
      <x:c r="Q8" s="135" t="str">
        <x:f>IF(AND(Q$4&gt;=$D8,Q$4&lt;=$E8),"■","")</x:f>
      </x:c>
      <x:c r="R8" s="135" t="str">
        <x:f>IF(AND(R$4&gt;=$D8,R$4&lt;=$E8),"■","")</x:f>
      </x:c>
      <x:c r="S8" s="135" t="str">
        <x:f>IF(AND(S$4&gt;=$D8,S$4&lt;=$E8),"■","")</x:f>
      </x:c>
      <x:c r="T8" s="135" t="str">
        <x:f>IF(AND(T$4&gt;=$D8,T$4&lt;=$E8),"■","")</x:f>
      </x:c>
      <x:c r="U8" s="135" t="str">
        <x:f>IF(AND(U$4&gt;=$D8,U$4&lt;=$E8),"■","")</x:f>
      </x:c>
      <x:c r="V8" s="135" t="str">
        <x:f>IF(AND(V$4&gt;=$D8,V$4&lt;=$E8),"■","")</x:f>
      </x:c>
      <x:c r="W8" s="135" t="str">
        <x:f>IF(AND(W$4&gt;=$D8,W$4&lt;=$E8),"■","")</x:f>
      </x:c>
      <x:c r="X8" s="135" t="str">
        <x:f>IF(AND(X$4&gt;=$D8,X$4&lt;=$E8),"■","")</x:f>
      </x:c>
      <x:c r="Y8" s="135" t="str">
        <x:f>IF(AND(Y$4&gt;=$D8,Y$4&lt;=$E8),"■","")</x:f>
      </x:c>
      <x:c r="Z8" s="135" t="str">
        <x:f>IF(AND(Z$4&gt;=$D8,Z$4&lt;=$E8),"■","")</x:f>
      </x:c>
    </x:row>
    <x:row r="9" ht="34" customHeight="1">
      <x:c r="A9" s="86" t="str">
        <x:v>T05</x:v>
      </x:c>
      <x:c r="B9" s="86" t="str">
        <x:v>完成 sesno_version_anchor schema、增量/全量成功后锚点写入与失败不写</x:v>
      </x:c>
      <x:c r="C9" s="86" t="str">
        <x:v>后端/Rust</x:v>
      </x:c>
      <x:c r="D9" s="87" t="n">
        <x:v>46217.166666666664</x:v>
      </x:c>
      <x:c r="E9" s="87" t="n">
        <x:v>46220.166666666664</x:v>
      </x:c>
      <x:c r="F9" s="86" t="str">
        <x:v>未开始</x:v>
      </x:c>
      <x:c r="G9" s="136" t="str">
        <x:f>IF(AND(G$4&gt;=$D9,G$4&lt;=$E9),"■","")</x:f>
        <x:v>■</x:v>
      </x:c>
      <x:c r="H9" s="136" t="str">
        <x:f>IF(AND(H$4&gt;=$D9,H$4&lt;=$E9),"■","")</x:f>
        <x:v>■</x:v>
      </x:c>
      <x:c r="I9" s="136" t="str">
        <x:f>IF(AND(I$4&gt;=$D9,I$4&lt;=$E9),"■","")</x:f>
        <x:v>■</x:v>
      </x:c>
      <x:c r="J9" s="136" t="str">
        <x:f>IF(AND(J$4&gt;=$D9,J$4&lt;=$E9),"■","")</x:f>
        <x:v>■</x:v>
      </x:c>
      <x:c r="K9" s="136" t="str">
        <x:f>IF(AND(K$4&gt;=$D9,K$4&lt;=$E9),"■","")</x:f>
      </x:c>
      <x:c r="L9" s="136" t="str">
        <x:f>IF(AND(L$4&gt;=$D9,L$4&lt;=$E9),"■","")</x:f>
      </x:c>
      <x:c r="M9" s="136" t="str">
        <x:f>IF(AND(M$4&gt;=$D9,M$4&lt;=$E9),"■","")</x:f>
      </x:c>
      <x:c r="N9" s="136" t="str">
        <x:f>IF(AND(N$4&gt;=$D9,N$4&lt;=$E9),"■","")</x:f>
      </x:c>
      <x:c r="O9" s="136" t="str">
        <x:f>IF(AND(O$4&gt;=$D9,O$4&lt;=$E9),"■","")</x:f>
      </x:c>
      <x:c r="P9" s="136" t="str">
        <x:f>IF(AND(P$4&gt;=$D9,P$4&lt;=$E9),"■","")</x:f>
      </x:c>
      <x:c r="Q9" s="136" t="str">
        <x:f>IF(AND(Q$4&gt;=$D9,Q$4&lt;=$E9),"■","")</x:f>
      </x:c>
      <x:c r="R9" s="136" t="str">
        <x:f>IF(AND(R$4&gt;=$D9,R$4&lt;=$E9),"■","")</x:f>
      </x:c>
      <x:c r="S9" s="136" t="str">
        <x:f>IF(AND(S$4&gt;=$D9,S$4&lt;=$E9),"■","")</x:f>
      </x:c>
      <x:c r="T9" s="136" t="str">
        <x:f>IF(AND(T$4&gt;=$D9,T$4&lt;=$E9),"■","")</x:f>
      </x:c>
      <x:c r="U9" s="136" t="str">
        <x:f>IF(AND(U$4&gt;=$D9,U$4&lt;=$E9),"■","")</x:f>
      </x:c>
      <x:c r="V9" s="136" t="str">
        <x:f>IF(AND(V$4&gt;=$D9,V$4&lt;=$E9),"■","")</x:f>
      </x:c>
      <x:c r="W9" s="136" t="str">
        <x:f>IF(AND(W$4&gt;=$D9,W$4&lt;=$E9),"■","")</x:f>
      </x:c>
      <x:c r="X9" s="136" t="str">
        <x:f>IF(AND(X$4&gt;=$D9,X$4&lt;=$E9),"■","")</x:f>
      </x:c>
      <x:c r="Y9" s="136" t="str">
        <x:f>IF(AND(Y$4&gt;=$D9,Y$4&lt;=$E9),"■","")</x:f>
      </x:c>
      <x:c r="Z9" s="136" t="str">
        <x:f>IF(AND(Z$4&gt;=$D9,Z$4&lt;=$E9),"■","")</x:f>
      </x:c>
    </x:row>
    <x:row r="10" ht="34" customHeight="1">
      <x:c r="A10" s="86" t="str">
        <x:v>T06</x:v>
      </x:c>
      <x:c r="B10" s="86" t="str">
        <x:v>实现 rs-core version_query：sesno 解析、snapshot、retention 越界错误翻译</x:v>
      </x:c>
      <x:c r="C10" s="86" t="str">
        <x:v>后端/Rust</x:v>
      </x:c>
      <x:c r="D10" s="87" t="n">
        <x:v>46223.166666666664</x:v>
      </x:c>
      <x:c r="E10" s="87" t="n">
        <x:v>46225.166666666664</x:v>
      </x:c>
      <x:c r="F10" s="86" t="str">
        <x:v>未开始</x:v>
      </x:c>
      <x:c r="G10" s="136" t="str">
        <x:f>IF(AND(G$4&gt;=$D10,G$4&lt;=$E10),"■","")</x:f>
      </x:c>
      <x:c r="H10" s="136" t="str">
        <x:f>IF(AND(H$4&gt;=$D10,H$4&lt;=$E10),"■","")</x:f>
      </x:c>
      <x:c r="I10" s="136" t="str">
        <x:f>IF(AND(I$4&gt;=$D10,I$4&lt;=$E10),"■","")</x:f>
      </x:c>
      <x:c r="J10" s="136" t="str">
        <x:f>IF(AND(J$4&gt;=$D10,J$4&lt;=$E10),"■","")</x:f>
      </x:c>
      <x:c r="K10" s="136" t="str">
        <x:f>IF(AND(K$4&gt;=$D10,K$4&lt;=$E10),"■","")</x:f>
        <x:v>■</x:v>
      </x:c>
      <x:c r="L10" s="136" t="str">
        <x:f>IF(AND(L$4&gt;=$D10,L$4&lt;=$E10),"■","")</x:f>
        <x:v>■</x:v>
      </x:c>
      <x:c r="M10" s="136" t="str">
        <x:f>IF(AND(M$4&gt;=$D10,M$4&lt;=$E10),"■","")</x:f>
        <x:v>■</x:v>
      </x:c>
      <x:c r="N10" s="136" t="str">
        <x:f>IF(AND(N$4&gt;=$D10,N$4&lt;=$E10),"■","")</x:f>
      </x:c>
      <x:c r="O10" s="136" t="str">
        <x:f>IF(AND(O$4&gt;=$D10,O$4&lt;=$E10),"■","")</x:f>
      </x:c>
      <x:c r="P10" s="136" t="str">
        <x:f>IF(AND(P$4&gt;=$D10,P$4&lt;=$E10),"■","")</x:f>
      </x:c>
      <x:c r="Q10" s="136" t="str">
        <x:f>IF(AND(Q$4&gt;=$D10,Q$4&lt;=$E10),"■","")</x:f>
      </x:c>
      <x:c r="R10" s="136" t="str">
        <x:f>IF(AND(R$4&gt;=$D10,R$4&lt;=$E10),"■","")</x:f>
      </x:c>
      <x:c r="S10" s="136" t="str">
        <x:f>IF(AND(S$4&gt;=$D10,S$4&lt;=$E10),"■","")</x:f>
      </x:c>
      <x:c r="T10" s="136" t="str">
        <x:f>IF(AND(T$4&gt;=$D10,T$4&lt;=$E10),"■","")</x:f>
      </x:c>
      <x:c r="U10" s="136" t="str">
        <x:f>IF(AND(U$4&gt;=$D10,U$4&lt;=$E10),"■","")</x:f>
      </x:c>
      <x:c r="V10" s="136" t="str">
        <x:f>IF(AND(V$4&gt;=$D10,V$4&lt;=$E10),"■","")</x:f>
      </x:c>
      <x:c r="W10" s="136" t="str">
        <x:f>IF(AND(W$4&gt;=$D10,W$4&lt;=$E10),"■","")</x:f>
      </x:c>
      <x:c r="X10" s="136" t="str">
        <x:f>IF(AND(X$4&gt;=$D10,X$4&lt;=$E10),"■","")</x:f>
      </x:c>
      <x:c r="Y10" s="136" t="str">
        <x:f>IF(AND(Y$4&gt;=$D10,Y$4&lt;=$E10),"■","")</x:f>
      </x:c>
      <x:c r="Z10" s="136" t="str">
        <x:f>IF(AND(Z$4&gt;=$D10,Z$4&lt;=$E10),"■","")</x:f>
      </x:c>
    </x:row>
    <x:row r="11" ht="34" customHeight="1">
      <x:c r="A11" s="86" t="str">
        <x:v>T07</x:v>
      </x:c>
      <x:c r="B11" s="86" t="str">
        <x:v>补 timeline/diff CLI、JSON 输出与 SurrealQL 对照验证</x:v>
      </x:c>
      <x:c r="C11" s="86" t="str">
        <x:v>后端/Rust</x:v>
      </x:c>
      <x:c r="D11" s="87" t="n">
        <x:v>46226.166666666664</x:v>
      </x:c>
      <x:c r="E11" s="87" t="n">
        <x:v>46227.166666666664</x:v>
      </x:c>
      <x:c r="F11" s="86" t="str">
        <x:v>未开始</x:v>
      </x:c>
      <x:c r="G11" s="136" t="str">
        <x:f>IF(AND(G$4&gt;=$D11,G$4&lt;=$E11),"■","")</x:f>
      </x:c>
      <x:c r="H11" s="136" t="str">
        <x:f>IF(AND(H$4&gt;=$D11,H$4&lt;=$E11),"■","")</x:f>
      </x:c>
      <x:c r="I11" s="136" t="str">
        <x:f>IF(AND(I$4&gt;=$D11,I$4&lt;=$E11),"■","")</x:f>
      </x:c>
      <x:c r="J11" s="136" t="str">
        <x:f>IF(AND(J$4&gt;=$D11,J$4&lt;=$E11),"■","")</x:f>
      </x:c>
      <x:c r="K11" s="136" t="str">
        <x:f>IF(AND(K$4&gt;=$D11,K$4&lt;=$E11),"■","")</x:f>
      </x:c>
      <x:c r="L11" s="136" t="str">
        <x:f>IF(AND(L$4&gt;=$D11,L$4&lt;=$E11),"■","")</x:f>
      </x:c>
      <x:c r="M11" s="136" t="str">
        <x:f>IF(AND(M$4&gt;=$D11,M$4&lt;=$E11),"■","")</x:f>
      </x:c>
      <x:c r="N11" s="136" t="str">
        <x:f>IF(AND(N$4&gt;=$D11,N$4&lt;=$E11),"■","")</x:f>
        <x:v>■</x:v>
      </x:c>
      <x:c r="O11" s="136" t="str">
        <x:f>IF(AND(O$4&gt;=$D11,O$4&lt;=$E11),"■","")</x:f>
        <x:v>■</x:v>
      </x:c>
      <x:c r="P11" s="136" t="str">
        <x:f>IF(AND(P$4&gt;=$D11,P$4&lt;=$E11),"■","")</x:f>
      </x:c>
      <x:c r="Q11" s="136" t="str">
        <x:f>IF(AND(Q$4&gt;=$D11,Q$4&lt;=$E11),"■","")</x:f>
      </x:c>
      <x:c r="R11" s="136" t="str">
        <x:f>IF(AND(R$4&gt;=$D11,R$4&lt;=$E11),"■","")</x:f>
      </x:c>
      <x:c r="S11" s="136" t="str">
        <x:f>IF(AND(S$4&gt;=$D11,S$4&lt;=$E11),"■","")</x:f>
      </x:c>
      <x:c r="T11" s="136" t="str">
        <x:f>IF(AND(T$4&gt;=$D11,T$4&lt;=$E11),"■","")</x:f>
      </x:c>
      <x:c r="U11" s="136" t="str">
        <x:f>IF(AND(U$4&gt;=$D11,U$4&lt;=$E11),"■","")</x:f>
      </x:c>
      <x:c r="V11" s="136" t="str">
        <x:f>IF(AND(V$4&gt;=$D11,V$4&lt;=$E11),"■","")</x:f>
      </x:c>
      <x:c r="W11" s="136" t="str">
        <x:f>IF(AND(W$4&gt;=$D11,W$4&lt;=$E11),"■","")</x:f>
      </x:c>
      <x:c r="X11" s="136" t="str">
        <x:f>IF(AND(X$4&gt;=$D11,X$4&lt;=$E11),"■","")</x:f>
      </x:c>
      <x:c r="Y11" s="136" t="str">
        <x:f>IF(AND(Y$4&gt;=$D11,Y$4&lt;=$E11),"■","")</x:f>
      </x:c>
      <x:c r="Z11" s="136" t="str">
        <x:f>IF(AND(Z$4&gt;=$D11,Z$4&lt;=$E11),"■","")</x:f>
      </x:c>
    </x:row>
    <x:row r="12" ht="34" customHeight="1">
      <x:c r="A12" s="86" t="str">
        <x:v>T08</x:v>
      </x:c>
      <x:c r="B12" s="86" t="str">
        <x:v>编写并实跑 versioned RocksDB 新目录重灌、抽样比对、切流 quickstart</x:v>
      </x:c>
      <x:c r="C12" s="86" t="str">
        <x:v>后端/Rust</x:v>
      </x:c>
      <x:c r="D12" s="87" t="n">
        <x:v>46230.166666666664</x:v>
      </x:c>
      <x:c r="E12" s="87" t="n">
        <x:v>46230.166666666664</x:v>
      </x:c>
      <x:c r="F12" s="86" t="str">
        <x:v>未开始</x:v>
      </x:c>
      <x:c r="G12" s="136" t="str">
        <x:f>IF(AND(G$4&gt;=$D12,G$4&lt;=$E12),"■","")</x:f>
      </x:c>
      <x:c r="H12" s="136" t="str">
        <x:f>IF(AND(H$4&gt;=$D12,H$4&lt;=$E12),"■","")</x:f>
      </x:c>
      <x:c r="I12" s="136" t="str">
        <x:f>IF(AND(I$4&gt;=$D12,I$4&lt;=$E12),"■","")</x:f>
      </x:c>
      <x:c r="J12" s="136" t="str">
        <x:f>IF(AND(J$4&gt;=$D12,J$4&lt;=$E12),"■","")</x:f>
      </x:c>
      <x:c r="K12" s="136" t="str">
        <x:f>IF(AND(K$4&gt;=$D12,K$4&lt;=$E12),"■","")</x:f>
      </x:c>
      <x:c r="L12" s="136" t="str">
        <x:f>IF(AND(L$4&gt;=$D12,L$4&lt;=$E12),"■","")</x:f>
      </x:c>
      <x:c r="M12" s="136" t="str">
        <x:f>IF(AND(M$4&gt;=$D12,M$4&lt;=$E12),"■","")</x:f>
      </x:c>
      <x:c r="N12" s="136" t="str">
        <x:f>IF(AND(N$4&gt;=$D12,N$4&lt;=$E12),"■","")</x:f>
      </x:c>
      <x:c r="O12" s="136" t="str">
        <x:f>IF(AND(O$4&gt;=$D12,O$4&lt;=$E12),"■","")</x:f>
      </x:c>
      <x:c r="P12" s="136" t="str">
        <x:f>IF(AND(P$4&gt;=$D12,P$4&lt;=$E12),"■","")</x:f>
        <x:v>■</x:v>
      </x:c>
      <x:c r="Q12" s="136" t="str">
        <x:f>IF(AND(Q$4&gt;=$D12,Q$4&lt;=$E12),"■","")</x:f>
      </x:c>
      <x:c r="R12" s="136" t="str">
        <x:f>IF(AND(R$4&gt;=$D12,R$4&lt;=$E12),"■","")</x:f>
      </x:c>
      <x:c r="S12" s="136" t="str">
        <x:f>IF(AND(S$4&gt;=$D12,S$4&lt;=$E12),"■","")</x:f>
      </x:c>
      <x:c r="T12" s="136" t="str">
        <x:f>IF(AND(T$4&gt;=$D12,T$4&lt;=$E12),"■","")</x:f>
      </x:c>
      <x:c r="U12" s="136" t="str">
        <x:f>IF(AND(U$4&gt;=$D12,U$4&lt;=$E12),"■","")</x:f>
      </x:c>
      <x:c r="V12" s="136" t="str">
        <x:f>IF(AND(V$4&gt;=$D12,V$4&lt;=$E12),"■","")</x:f>
      </x:c>
      <x:c r="W12" s="136" t="str">
        <x:f>IF(AND(W$4&gt;=$D12,W$4&lt;=$E12),"■","")</x:f>
      </x:c>
      <x:c r="X12" s="136" t="str">
        <x:f>IF(AND(X$4&gt;=$D12,X$4&lt;=$E12),"■","")</x:f>
      </x:c>
      <x:c r="Y12" s="136" t="str">
        <x:f>IF(AND(Y$4&gt;=$D12,Y$4&lt;=$E12),"■","")</x:f>
      </x:c>
      <x:c r="Z12" s="136" t="str">
        <x:f>IF(AND(Z$4&gt;=$D12,Z$4&lt;=$E12),"■","")</x:f>
      </x:c>
    </x:row>
    <x:row r="13" ht="34" customHeight="1">
      <x:c r="A13" s="86" t="str">
        <x:v>T09</x:v>
      </x:c>
      <x:c r="B13" s="86" t="str">
        <x:v>核对 incremental-sesno/watch → handoff → 显式 register → DuckLake release 的生产链</x:v>
      </x:c>
      <x:c r="C13" s="86" t="str">
        <x:v>后端/Rust</x:v>
      </x:c>
      <x:c r="D13" s="87" t="n">
        <x:v>46219.166666666664</x:v>
      </x:c>
      <x:c r="E13" s="87" t="n">
        <x:v>46223.166666666664</x:v>
      </x:c>
      <x:c r="F13" s="86" t="str">
        <x:v>未开始</x:v>
      </x:c>
      <x:c r="G13" s="136" t="str">
        <x:f>IF(AND(G$4&gt;=$D13,G$4&lt;=$E13),"■","")</x:f>
      </x:c>
      <x:c r="H13" s="136" t="str">
        <x:f>IF(AND(H$4&gt;=$D13,H$4&lt;=$E13),"■","")</x:f>
      </x:c>
      <x:c r="I13" s="136" t="str">
        <x:f>IF(AND(I$4&gt;=$D13,I$4&lt;=$E13),"■","")</x:f>
        <x:v>■</x:v>
      </x:c>
      <x:c r="J13" s="136" t="str">
        <x:f>IF(AND(J$4&gt;=$D13,J$4&lt;=$E13),"■","")</x:f>
        <x:v>■</x:v>
      </x:c>
      <x:c r="K13" s="136" t="str">
        <x:f>IF(AND(K$4&gt;=$D13,K$4&lt;=$E13),"■","")</x:f>
        <x:v>■</x:v>
      </x:c>
      <x:c r="L13" s="136" t="str">
        <x:f>IF(AND(L$4&gt;=$D13,L$4&lt;=$E13),"■","")</x:f>
      </x:c>
      <x:c r="M13" s="136" t="str">
        <x:f>IF(AND(M$4&gt;=$D13,M$4&lt;=$E13),"■","")</x:f>
      </x:c>
      <x:c r="N13" s="136" t="str">
        <x:f>IF(AND(N$4&gt;=$D13,N$4&lt;=$E13),"■","")</x:f>
      </x:c>
      <x:c r="O13" s="136" t="str">
        <x:f>IF(AND(O$4&gt;=$D13,O$4&lt;=$E13),"■","")</x:f>
      </x:c>
      <x:c r="P13" s="136" t="str">
        <x:f>IF(AND(P$4&gt;=$D13,P$4&lt;=$E13),"■","")</x:f>
      </x:c>
      <x:c r="Q13" s="136" t="str">
        <x:f>IF(AND(Q$4&gt;=$D13,Q$4&lt;=$E13),"■","")</x:f>
      </x:c>
      <x:c r="R13" s="136" t="str">
        <x:f>IF(AND(R$4&gt;=$D13,R$4&lt;=$E13),"■","")</x:f>
      </x:c>
      <x:c r="S13" s="136" t="str">
        <x:f>IF(AND(S$4&gt;=$D13,S$4&lt;=$E13),"■","")</x:f>
      </x:c>
      <x:c r="T13" s="136" t="str">
        <x:f>IF(AND(T$4&gt;=$D13,T$4&lt;=$E13),"■","")</x:f>
      </x:c>
      <x:c r="U13" s="136" t="str">
        <x:f>IF(AND(U$4&gt;=$D13,U$4&lt;=$E13),"■","")</x:f>
      </x:c>
      <x:c r="V13" s="136" t="str">
        <x:f>IF(AND(V$4&gt;=$D13,V$4&lt;=$E13),"■","")</x:f>
      </x:c>
      <x:c r="W13" s="136" t="str">
        <x:f>IF(AND(W$4&gt;=$D13,W$4&lt;=$E13),"■","")</x:f>
      </x:c>
      <x:c r="X13" s="136" t="str">
        <x:f>IF(AND(X$4&gt;=$D13,X$4&lt;=$E13),"■","")</x:f>
      </x:c>
      <x:c r="Y13" s="136" t="str">
        <x:f>IF(AND(Y$4&gt;=$D13,Y$4&lt;=$E13),"■","")</x:f>
      </x:c>
      <x:c r="Z13" s="136" t="str">
        <x:f>IF(AND(Z$4&gt;=$D13,Z$4&lt;=$E13),"■","")</x:f>
      </x:c>
    </x:row>
    <x:row r="14" ht="34" customHeight="1">
      <x:c r="A14" s="86" t="str">
        <x:v>T10</x:v>
      </x:c>
      <x:c r="B14" s="86" t="str">
        <x:v>收口 releases/readiness/diff/runtime-scene/mesh-assets 过滤与 component_key 契约</x:v>
      </x:c>
      <x:c r="C14" s="86" t="str">
        <x:v>后端/Rust</x:v>
      </x:c>
      <x:c r="D14" s="87" t="n">
        <x:v>46224.166666666664</x:v>
      </x:c>
      <x:c r="E14" s="87" t="n">
        <x:v>46226.166666666664</x:v>
      </x:c>
      <x:c r="F14" s="86" t="str">
        <x:v>未开始</x:v>
      </x:c>
      <x:c r="G14" s="136" t="str">
        <x:f>IF(AND(G$4&gt;=$D14,G$4&lt;=$E14),"■","")</x:f>
      </x:c>
      <x:c r="H14" s="136" t="str">
        <x:f>IF(AND(H$4&gt;=$D14,H$4&lt;=$E14),"■","")</x:f>
      </x:c>
      <x:c r="I14" s="136" t="str">
        <x:f>IF(AND(I$4&gt;=$D14,I$4&lt;=$E14),"■","")</x:f>
      </x:c>
      <x:c r="J14" s="136" t="str">
        <x:f>IF(AND(J$4&gt;=$D14,J$4&lt;=$E14),"■","")</x:f>
      </x:c>
      <x:c r="K14" s="136" t="str">
        <x:f>IF(AND(K$4&gt;=$D14,K$4&lt;=$E14),"■","")</x:f>
      </x:c>
      <x:c r="L14" s="136" t="str">
        <x:f>IF(AND(L$4&gt;=$D14,L$4&lt;=$E14),"■","")</x:f>
        <x:v>■</x:v>
      </x:c>
      <x:c r="M14" s="136" t="str">
        <x:f>IF(AND(M$4&gt;=$D14,M$4&lt;=$E14),"■","")</x:f>
        <x:v>■</x:v>
      </x:c>
      <x:c r="N14" s="136" t="str">
        <x:f>IF(AND(N$4&gt;=$D14,N$4&lt;=$E14),"■","")</x:f>
        <x:v>■</x:v>
      </x:c>
      <x:c r="O14" s="136" t="str">
        <x:f>IF(AND(O$4&gt;=$D14,O$4&lt;=$E14),"■","")</x:f>
      </x:c>
      <x:c r="P14" s="136" t="str">
        <x:f>IF(AND(P$4&gt;=$D14,P$4&lt;=$E14),"■","")</x:f>
      </x:c>
      <x:c r="Q14" s="136" t="str">
        <x:f>IF(AND(Q$4&gt;=$D14,Q$4&lt;=$E14),"■","")</x:f>
      </x:c>
      <x:c r="R14" s="136" t="str">
        <x:f>IF(AND(R$4&gt;=$D14,R$4&lt;=$E14),"■","")</x:f>
      </x:c>
      <x:c r="S14" s="136" t="str">
        <x:f>IF(AND(S$4&gt;=$D14,S$4&lt;=$E14),"■","")</x:f>
      </x:c>
      <x:c r="T14" s="136" t="str">
        <x:f>IF(AND(T$4&gt;=$D14,T$4&lt;=$E14),"■","")</x:f>
      </x:c>
      <x:c r="U14" s="136" t="str">
        <x:f>IF(AND(U$4&gt;=$D14,U$4&lt;=$E14),"■","")</x:f>
      </x:c>
      <x:c r="V14" s="136" t="str">
        <x:f>IF(AND(V$4&gt;=$D14,V$4&lt;=$E14),"■","")</x:f>
      </x:c>
      <x:c r="W14" s="136" t="str">
        <x:f>IF(AND(W$4&gt;=$D14,W$4&lt;=$E14),"■","")</x:f>
      </x:c>
      <x:c r="X14" s="136" t="str">
        <x:f>IF(AND(X$4&gt;=$D14,X$4&lt;=$E14),"■","")</x:f>
      </x:c>
      <x:c r="Y14" s="136" t="str">
        <x:f>IF(AND(Y$4&gt;=$D14,Y$4&lt;=$E14),"■","")</x:f>
      </x:c>
      <x:c r="Z14" s="136" t="str">
        <x:f>IF(AND(Z$4&gt;=$D14,Z$4&lt;=$E14),"■","")</x:f>
      </x:c>
    </x:row>
    <x:row r="15" ht="34" customHeight="1">
      <x:c r="A15" s="86" t="str">
        <x:v>T11</x:v>
      </x:c>
      <x:c r="B15" s="86" t="str">
        <x:v>对统一样例实跑增量生成、release 注册、diff、运行场景和 mesh 资产核对</x:v>
      </x:c>
      <x:c r="C15" s="86" t="str">
        <x:v>QA/联调</x:v>
      </x:c>
      <x:c r="D15" s="87" t="n">
        <x:v>46227.166666666664</x:v>
      </x:c>
      <x:c r="E15" s="87" t="n">
        <x:v>46230.166666666664</x:v>
      </x:c>
      <x:c r="F15" s="86" t="str">
        <x:v>未开始</x:v>
      </x:c>
      <x:c r="G15" s="136" t="str">
        <x:f>IF(AND(G$4&gt;=$D15,G$4&lt;=$E15),"■","")</x:f>
      </x:c>
      <x:c r="H15" s="136" t="str">
        <x:f>IF(AND(H$4&gt;=$D15,H$4&lt;=$E15),"■","")</x:f>
      </x:c>
      <x:c r="I15" s="136" t="str">
        <x:f>IF(AND(I$4&gt;=$D15,I$4&lt;=$E15),"■","")</x:f>
      </x:c>
      <x:c r="J15" s="136" t="str">
        <x:f>IF(AND(J$4&gt;=$D15,J$4&lt;=$E15),"■","")</x:f>
      </x:c>
      <x:c r="K15" s="136" t="str">
        <x:f>IF(AND(K$4&gt;=$D15,K$4&lt;=$E15),"■","")</x:f>
      </x:c>
      <x:c r="L15" s="136" t="str">
        <x:f>IF(AND(L$4&gt;=$D15,L$4&lt;=$E15),"■","")</x:f>
      </x:c>
      <x:c r="M15" s="136" t="str">
        <x:f>IF(AND(M$4&gt;=$D15,M$4&lt;=$E15),"■","")</x:f>
      </x:c>
      <x:c r="N15" s="136" t="str">
        <x:f>IF(AND(N$4&gt;=$D15,N$4&lt;=$E15),"■","")</x:f>
      </x:c>
      <x:c r="O15" s="136" t="str">
        <x:f>IF(AND(O$4&gt;=$D15,O$4&lt;=$E15),"■","")</x:f>
        <x:v>■</x:v>
      </x:c>
      <x:c r="P15" s="136" t="str">
        <x:f>IF(AND(P$4&gt;=$D15,P$4&lt;=$E15),"■","")</x:f>
        <x:v>■</x:v>
      </x:c>
      <x:c r="Q15" s="136" t="str">
        <x:f>IF(AND(Q$4&gt;=$D15,Q$4&lt;=$E15),"■","")</x:f>
      </x:c>
      <x:c r="R15" s="136" t="str">
        <x:f>IF(AND(R$4&gt;=$D15,R$4&lt;=$E15),"■","")</x:f>
      </x:c>
      <x:c r="S15" s="136" t="str">
        <x:f>IF(AND(S$4&gt;=$D15,S$4&lt;=$E15),"■","")</x:f>
      </x:c>
      <x:c r="T15" s="136" t="str">
        <x:f>IF(AND(T$4&gt;=$D15,T$4&lt;=$E15),"■","")</x:f>
      </x:c>
      <x:c r="U15" s="136" t="str">
        <x:f>IF(AND(U$4&gt;=$D15,U$4&lt;=$E15),"■","")</x:f>
      </x:c>
      <x:c r="V15" s="136" t="str">
        <x:f>IF(AND(V$4&gt;=$D15,V$4&lt;=$E15),"■","")</x:f>
      </x:c>
      <x:c r="W15" s="136" t="str">
        <x:f>IF(AND(W$4&gt;=$D15,W$4&lt;=$E15),"■","")</x:f>
      </x:c>
      <x:c r="X15" s="136" t="str">
        <x:f>IF(AND(X$4&gt;=$D15,X$4&lt;=$E15),"■","")</x:f>
      </x:c>
      <x:c r="Y15" s="136" t="str">
        <x:f>IF(AND(Y$4&gt;=$D15,Y$4&lt;=$E15),"■","")</x:f>
      </x:c>
      <x:c r="Z15" s="136" t="str">
        <x:f>IF(AND(Z$4&gt;=$D15,Z$4&lt;=$E15),"■","")</x:f>
      </x:c>
    </x:row>
    <x:row r="16" ht="34" customHeight="1">
      <x:c r="A16" s="86" t="str">
        <x:v>T12</x:v>
      </x:c>
      <x:c r="B16" s="86" t="str">
        <x:v>抽出 modelVersionCompareApi，移除硬编码 release，统一 slash/underscore refno</x:v>
      </x:c>
      <x:c r="C16" s="86" t="str">
        <x:v>前端/3D</x:v>
      </x:c>
      <x:c r="D16" s="87" t="n">
        <x:v>46219.166666666664</x:v>
      </x:c>
      <x:c r="E16" s="87" t="n">
        <x:v>46220.166666666664</x:v>
      </x:c>
      <x:c r="F16" s="86" t="str">
        <x:v>进行中</x:v>
      </x:c>
      <x:c r="G16" s="137" t="str">
        <x:f>IF(AND(G$4&gt;=$D16,G$4&lt;=$E16),"■","")</x:f>
      </x:c>
      <x:c r="H16" s="137" t="str">
        <x:f>IF(AND(H$4&gt;=$D16,H$4&lt;=$E16),"■","")</x:f>
      </x:c>
      <x:c r="I16" s="137" t="str">
        <x:f>IF(AND(I$4&gt;=$D16,I$4&lt;=$E16),"■","")</x:f>
        <x:v>■</x:v>
      </x:c>
      <x:c r="J16" s="137" t="str">
        <x:f>IF(AND(J$4&gt;=$D16,J$4&lt;=$E16),"■","")</x:f>
        <x:v>■</x:v>
      </x:c>
      <x:c r="K16" s="137" t="str">
        <x:f>IF(AND(K$4&gt;=$D16,K$4&lt;=$E16),"■","")</x:f>
      </x:c>
      <x:c r="L16" s="137" t="str">
        <x:f>IF(AND(L$4&gt;=$D16,L$4&lt;=$E16),"■","")</x:f>
      </x:c>
      <x:c r="M16" s="137" t="str">
        <x:f>IF(AND(M$4&gt;=$D16,M$4&lt;=$E16),"■","")</x:f>
      </x:c>
      <x:c r="N16" s="137" t="str">
        <x:f>IF(AND(N$4&gt;=$D16,N$4&lt;=$E16),"■","")</x:f>
      </x:c>
      <x:c r="O16" s="137" t="str">
        <x:f>IF(AND(O$4&gt;=$D16,O$4&lt;=$E16),"■","")</x:f>
      </x:c>
      <x:c r="P16" s="137" t="str">
        <x:f>IF(AND(P$4&gt;=$D16,P$4&lt;=$E16),"■","")</x:f>
      </x:c>
      <x:c r="Q16" s="137" t="str">
        <x:f>IF(AND(Q$4&gt;=$D16,Q$4&lt;=$E16),"■","")</x:f>
      </x:c>
      <x:c r="R16" s="137" t="str">
        <x:f>IF(AND(R$4&gt;=$D16,R$4&lt;=$E16),"■","")</x:f>
      </x:c>
      <x:c r="S16" s="137" t="str">
        <x:f>IF(AND(S$4&gt;=$D16,S$4&lt;=$E16),"■","")</x:f>
      </x:c>
      <x:c r="T16" s="137" t="str">
        <x:f>IF(AND(T$4&gt;=$D16,T$4&lt;=$E16),"■","")</x:f>
      </x:c>
      <x:c r="U16" s="137" t="str">
        <x:f>IF(AND(U$4&gt;=$D16,U$4&lt;=$E16),"■","")</x:f>
      </x:c>
      <x:c r="V16" s="137" t="str">
        <x:f>IF(AND(V$4&gt;=$D16,V$4&lt;=$E16),"■","")</x:f>
      </x:c>
      <x:c r="W16" s="137" t="str">
        <x:f>IF(AND(W$4&gt;=$D16,W$4&lt;=$E16),"■","")</x:f>
      </x:c>
      <x:c r="X16" s="137" t="str">
        <x:f>IF(AND(X$4&gt;=$D16,X$4&lt;=$E16),"■","")</x:f>
      </x:c>
      <x:c r="Y16" s="137" t="str">
        <x:f>IF(AND(Y$4&gt;=$D16,Y$4&lt;=$E16),"■","")</x:f>
      </x:c>
      <x:c r="Z16" s="137" t="str">
        <x:f>IF(AND(Z$4&gt;=$D16,Z$4&lt;=$E16),"■","")</x:f>
      </x:c>
    </x:row>
    <x:row r="17" ht="34" customHeight="1">
      <x:c r="A17" s="86" t="str">
        <x:v>T13</x:v>
      </x:c>
      <x:c r="B17" s="86" t="str">
        <x:v>完善版本选择、质量/就绪状态、refno/noun/change_type 过滤和来源展示</x:v>
      </x:c>
      <x:c r="C17" s="86" t="str">
        <x:v>前端/3D</x:v>
      </x:c>
      <x:c r="D17" s="87" t="n">
        <x:v>46223.166666666664</x:v>
      </x:c>
      <x:c r="E17" s="87" t="n">
        <x:v>46225.166666666664</x:v>
      </x:c>
      <x:c r="F17" s="86" t="str">
        <x:v>进行中</x:v>
      </x:c>
      <x:c r="G17" s="137" t="str">
        <x:f>IF(AND(G$4&gt;=$D17,G$4&lt;=$E17),"■","")</x:f>
      </x:c>
      <x:c r="H17" s="137" t="str">
        <x:f>IF(AND(H$4&gt;=$D17,H$4&lt;=$E17),"■","")</x:f>
      </x:c>
      <x:c r="I17" s="137" t="str">
        <x:f>IF(AND(I$4&gt;=$D17,I$4&lt;=$E17),"■","")</x:f>
      </x:c>
      <x:c r="J17" s="137" t="str">
        <x:f>IF(AND(J$4&gt;=$D17,J$4&lt;=$E17),"■","")</x:f>
      </x:c>
      <x:c r="K17" s="137" t="str">
        <x:f>IF(AND(K$4&gt;=$D17,K$4&lt;=$E17),"■","")</x:f>
        <x:v>■</x:v>
      </x:c>
      <x:c r="L17" s="137" t="str">
        <x:f>IF(AND(L$4&gt;=$D17,L$4&lt;=$E17),"■","")</x:f>
        <x:v>■</x:v>
      </x:c>
      <x:c r="M17" s="137" t="str">
        <x:f>IF(AND(M$4&gt;=$D17,M$4&lt;=$E17),"■","")</x:f>
        <x:v>■</x:v>
      </x:c>
      <x:c r="N17" s="137" t="str">
        <x:f>IF(AND(N$4&gt;=$D17,N$4&lt;=$E17),"■","")</x:f>
      </x:c>
      <x:c r="O17" s="137" t="str">
        <x:f>IF(AND(O$4&gt;=$D17,O$4&lt;=$E17),"■","")</x:f>
      </x:c>
      <x:c r="P17" s="137" t="str">
        <x:f>IF(AND(P$4&gt;=$D17,P$4&lt;=$E17),"■","")</x:f>
      </x:c>
      <x:c r="Q17" s="137" t="str">
        <x:f>IF(AND(Q$4&gt;=$D17,Q$4&lt;=$E17),"■","")</x:f>
      </x:c>
      <x:c r="R17" s="137" t="str">
        <x:f>IF(AND(R$4&gt;=$D17,R$4&lt;=$E17),"■","")</x:f>
      </x:c>
      <x:c r="S17" s="137" t="str">
        <x:f>IF(AND(S$4&gt;=$D17,S$4&lt;=$E17),"■","")</x:f>
      </x:c>
      <x:c r="T17" s="137" t="str">
        <x:f>IF(AND(T$4&gt;=$D17,T$4&lt;=$E17),"■","")</x:f>
      </x:c>
      <x:c r="U17" s="137" t="str">
        <x:f>IF(AND(U$4&gt;=$D17,U$4&lt;=$E17),"■","")</x:f>
      </x:c>
      <x:c r="V17" s="137" t="str">
        <x:f>IF(AND(V$4&gt;=$D17,V$4&lt;=$E17),"■","")</x:f>
      </x:c>
      <x:c r="W17" s="137" t="str">
        <x:f>IF(AND(W$4&gt;=$D17,W$4&lt;=$E17),"■","")</x:f>
      </x:c>
      <x:c r="X17" s="137" t="str">
        <x:f>IF(AND(X$4&gt;=$D17,X$4&lt;=$E17),"■","")</x:f>
      </x:c>
      <x:c r="Y17" s="137" t="str">
        <x:f>IF(AND(Y$4&gt;=$D17,Y$4&lt;=$E17),"■","")</x:f>
      </x:c>
      <x:c r="Z17" s="137" t="str">
        <x:f>IF(AND(Z$4&gt;=$D17,Z$4&lt;=$E17),"■","")</x:f>
      </x:c>
    </x:row>
    <x:row r="18" ht="34" customHeight="1">
      <x:c r="A18" s="86" t="str">
        <x:v>T14</x:v>
      </x:c>
      <x:c r="B18" s="86" t="str">
        <x:v>复用 release-local DTX loader 展示旧/新版本，处理新增/删除缺侧语义</x:v>
      </x:c>
      <x:c r="C18" s="86" t="str">
        <x:v>前端/3D</x:v>
      </x:c>
      <x:c r="D18" s="87" t="n">
        <x:v>46226.166666666664</x:v>
      </x:c>
      <x:c r="E18" s="87" t="n">
        <x:v>46230.166666666664</x:v>
      </x:c>
      <x:c r="F18" s="86" t="str">
        <x:v>进行中</x:v>
      </x:c>
      <x:c r="G18" s="137" t="str">
        <x:f>IF(AND(G$4&gt;=$D18,G$4&lt;=$E18),"■","")</x:f>
      </x:c>
      <x:c r="H18" s="137" t="str">
        <x:f>IF(AND(H$4&gt;=$D18,H$4&lt;=$E18),"■","")</x:f>
      </x:c>
      <x:c r="I18" s="137" t="str">
        <x:f>IF(AND(I$4&gt;=$D18,I$4&lt;=$E18),"■","")</x:f>
      </x:c>
      <x:c r="J18" s="137" t="str">
        <x:f>IF(AND(J$4&gt;=$D18,J$4&lt;=$E18),"■","")</x:f>
      </x:c>
      <x:c r="K18" s="137" t="str">
        <x:f>IF(AND(K$4&gt;=$D18,K$4&lt;=$E18),"■","")</x:f>
      </x:c>
      <x:c r="L18" s="137" t="str">
        <x:f>IF(AND(L$4&gt;=$D18,L$4&lt;=$E18),"■","")</x:f>
      </x:c>
      <x:c r="M18" s="137" t="str">
        <x:f>IF(AND(M$4&gt;=$D18,M$4&lt;=$E18),"■","")</x:f>
      </x:c>
      <x:c r="N18" s="137" t="str">
        <x:f>IF(AND(N$4&gt;=$D18,N$4&lt;=$E18),"■","")</x:f>
        <x:v>■</x:v>
      </x:c>
      <x:c r="O18" s="137" t="str">
        <x:f>IF(AND(O$4&gt;=$D18,O$4&lt;=$E18),"■","")</x:f>
        <x:v>■</x:v>
      </x:c>
      <x:c r="P18" s="137" t="str">
        <x:f>IF(AND(P$4&gt;=$D18,P$4&lt;=$E18),"■","")</x:f>
        <x:v>■</x:v>
      </x:c>
      <x:c r="Q18" s="137" t="str">
        <x:f>IF(AND(Q$4&gt;=$D18,Q$4&lt;=$E18),"■","")</x:f>
      </x:c>
      <x:c r="R18" s="137" t="str">
        <x:f>IF(AND(R$4&gt;=$D18,R$4&lt;=$E18),"■","")</x:f>
      </x:c>
      <x:c r="S18" s="137" t="str">
        <x:f>IF(AND(S$4&gt;=$D18,S$4&lt;=$E18),"■","")</x:f>
      </x:c>
      <x:c r="T18" s="137" t="str">
        <x:f>IF(AND(T$4&gt;=$D18,T$4&lt;=$E18),"■","")</x:f>
      </x:c>
      <x:c r="U18" s="137" t="str">
        <x:f>IF(AND(U$4&gt;=$D18,U$4&lt;=$E18),"■","")</x:f>
      </x:c>
      <x:c r="V18" s="137" t="str">
        <x:f>IF(AND(V$4&gt;=$D18,V$4&lt;=$E18),"■","")</x:f>
      </x:c>
      <x:c r="W18" s="137" t="str">
        <x:f>IF(AND(W$4&gt;=$D18,W$4&lt;=$E18),"■","")</x:f>
      </x:c>
      <x:c r="X18" s="137" t="str">
        <x:f>IF(AND(X$4&gt;=$D18,X$4&lt;=$E18),"■","")</x:f>
      </x:c>
      <x:c r="Y18" s="137" t="str">
        <x:f>IF(AND(Y$4&gt;=$D18,Y$4&lt;=$E18),"■","")</x:f>
      </x:c>
      <x:c r="Z18" s="137" t="str">
        <x:f>IF(AND(Z$4&gt;=$D18,Z$4&lt;=$E18),"■","")</x:f>
      </x:c>
    </x:row>
    <x:row r="19" ht="34" customHeight="1">
      <x:c r="A19" s="86" t="str">
        <x:v>T15</x:v>
      </x:c>
      <x:c r="B19" s="86" t="str">
        <x:v>同步相机、选中、高亮、模型树；关闭对比时释放 DTX/GPU 资源</x:v>
      </x:c>
      <x:c r="C19" s="86" t="str">
        <x:v>前端/3D</x:v>
      </x:c>
      <x:c r="D19" s="87" t="n">
        <x:v>46231.166666666664</x:v>
      </x:c>
      <x:c r="E19" s="87" t="n">
        <x:v>46232.166666666664</x:v>
      </x:c>
      <x:c r="F19" s="86" t="str">
        <x:v>未开始</x:v>
      </x:c>
      <x:c r="G19" s="137" t="str">
        <x:f>IF(AND(G$4&gt;=$D19,G$4&lt;=$E19),"■","")</x:f>
      </x:c>
      <x:c r="H19" s="137" t="str">
        <x:f>IF(AND(H$4&gt;=$D19,H$4&lt;=$E19),"■","")</x:f>
      </x:c>
      <x:c r="I19" s="137" t="str">
        <x:f>IF(AND(I$4&gt;=$D19,I$4&lt;=$E19),"■","")</x:f>
      </x:c>
      <x:c r="J19" s="137" t="str">
        <x:f>IF(AND(J$4&gt;=$D19,J$4&lt;=$E19),"■","")</x:f>
      </x:c>
      <x:c r="K19" s="137" t="str">
        <x:f>IF(AND(K$4&gt;=$D19,K$4&lt;=$E19),"■","")</x:f>
      </x:c>
      <x:c r="L19" s="137" t="str">
        <x:f>IF(AND(L$4&gt;=$D19,L$4&lt;=$E19),"■","")</x:f>
      </x:c>
      <x:c r="M19" s="137" t="str">
        <x:f>IF(AND(M$4&gt;=$D19,M$4&lt;=$E19),"■","")</x:f>
      </x:c>
      <x:c r="N19" s="137" t="str">
        <x:f>IF(AND(N$4&gt;=$D19,N$4&lt;=$E19),"■","")</x:f>
      </x:c>
      <x:c r="O19" s="137" t="str">
        <x:f>IF(AND(O$4&gt;=$D19,O$4&lt;=$E19),"■","")</x:f>
      </x:c>
      <x:c r="P19" s="137" t="str">
        <x:f>IF(AND(P$4&gt;=$D19,P$4&lt;=$E19),"■","")</x:f>
      </x:c>
      <x:c r="Q19" s="137" t="str">
        <x:f>IF(AND(Q$4&gt;=$D19,Q$4&lt;=$E19),"■","")</x:f>
        <x:v>■</x:v>
      </x:c>
      <x:c r="R19" s="137" t="str">
        <x:f>IF(AND(R$4&gt;=$D19,R$4&lt;=$E19),"■","")</x:f>
        <x:v>■</x:v>
      </x:c>
      <x:c r="S19" s="137" t="str">
        <x:f>IF(AND(S$4&gt;=$D19,S$4&lt;=$E19),"■","")</x:f>
      </x:c>
      <x:c r="T19" s="137" t="str">
        <x:f>IF(AND(T$4&gt;=$D19,T$4&lt;=$E19),"■","")</x:f>
      </x:c>
      <x:c r="U19" s="137" t="str">
        <x:f>IF(AND(U$4&gt;=$D19,U$4&lt;=$E19),"■","")</x:f>
      </x:c>
      <x:c r="V19" s="137" t="str">
        <x:f>IF(AND(V$4&gt;=$D19,V$4&lt;=$E19),"■","")</x:f>
      </x:c>
      <x:c r="W19" s="137" t="str">
        <x:f>IF(AND(W$4&gt;=$D19,W$4&lt;=$E19),"■","")</x:f>
      </x:c>
      <x:c r="X19" s="137" t="str">
        <x:f>IF(AND(X$4&gt;=$D19,X$4&lt;=$E19),"■","")</x:f>
      </x:c>
      <x:c r="Y19" s="137" t="str">
        <x:f>IF(AND(Y$4&gt;=$D19,Y$4&lt;=$E19),"■","")</x:f>
      </x:c>
      <x:c r="Z19" s="137" t="str">
        <x:f>IF(AND(Z$4&gt;=$D19,Z$4&lt;=$E19),"■","")</x:f>
      </x:c>
    </x:row>
    <x:row r="20" ht="34" customHeight="1">
      <x:c r="A20" s="86" t="str">
        <x:v>T16</x:v>
      </x:c>
      <x:c r="B20" s="86" t="str">
        <x:v>新增真实 release 版本对比 E2E 与 demo fallback 隔离验证</x:v>
      </x:c>
      <x:c r="C20" s="86" t="str">
        <x:v>QA/联调</x:v>
      </x:c>
      <x:c r="D20" s="87" t="n">
        <x:v>46233.166666666664</x:v>
      </x:c>
      <x:c r="E20" s="87" t="n">
        <x:v>46233.166666666664</x:v>
      </x:c>
      <x:c r="F20" s="86" t="str">
        <x:v>未开始</x:v>
      </x:c>
      <x:c r="G20" s="137" t="str">
        <x:f>IF(AND(G$4&gt;=$D20,G$4&lt;=$E20),"■","")</x:f>
      </x:c>
      <x:c r="H20" s="137" t="str">
        <x:f>IF(AND(H$4&gt;=$D20,H$4&lt;=$E20),"■","")</x:f>
      </x:c>
      <x:c r="I20" s="137" t="str">
        <x:f>IF(AND(I$4&gt;=$D20,I$4&lt;=$E20),"■","")</x:f>
      </x:c>
      <x:c r="J20" s="137" t="str">
        <x:f>IF(AND(J$4&gt;=$D20,J$4&lt;=$E20),"■","")</x:f>
      </x:c>
      <x:c r="K20" s="137" t="str">
        <x:f>IF(AND(K$4&gt;=$D20,K$4&lt;=$E20),"■","")</x:f>
      </x:c>
      <x:c r="L20" s="137" t="str">
        <x:f>IF(AND(L$4&gt;=$D20,L$4&lt;=$E20),"■","")</x:f>
      </x:c>
      <x:c r="M20" s="137" t="str">
        <x:f>IF(AND(M$4&gt;=$D20,M$4&lt;=$E20),"■","")</x:f>
      </x:c>
      <x:c r="N20" s="137" t="str">
        <x:f>IF(AND(N$4&gt;=$D20,N$4&lt;=$E20),"■","")</x:f>
      </x:c>
      <x:c r="O20" s="137" t="str">
        <x:f>IF(AND(O$4&gt;=$D20,O$4&lt;=$E20),"■","")</x:f>
      </x:c>
      <x:c r="P20" s="137" t="str">
        <x:f>IF(AND(P$4&gt;=$D20,P$4&lt;=$E20),"■","")</x:f>
      </x:c>
      <x:c r="Q20" s="137" t="str">
        <x:f>IF(AND(Q$4&gt;=$D20,Q$4&lt;=$E20),"■","")</x:f>
      </x:c>
      <x:c r="R20" s="137" t="str">
        <x:f>IF(AND(R$4&gt;=$D20,R$4&lt;=$E20),"■","")</x:f>
      </x:c>
      <x:c r="S20" s="137" t="str">
        <x:f>IF(AND(S$4&gt;=$D20,S$4&lt;=$E20),"■","")</x:f>
        <x:v>■</x:v>
      </x:c>
      <x:c r="T20" s="137" t="str">
        <x:f>IF(AND(T$4&gt;=$D20,T$4&lt;=$E20),"■","")</x:f>
      </x:c>
      <x:c r="U20" s="137" t="str">
        <x:f>IF(AND(U$4&gt;=$D20,U$4&lt;=$E20),"■","")</x:f>
      </x:c>
      <x:c r="V20" s="137" t="str">
        <x:f>IF(AND(V$4&gt;=$D20,V$4&lt;=$E20),"■","")</x:f>
      </x:c>
      <x:c r="W20" s="137" t="str">
        <x:f>IF(AND(W$4&gt;=$D20,W$4&lt;=$E20),"■","")</x:f>
      </x:c>
      <x:c r="X20" s="137" t="str">
        <x:f>IF(AND(X$4&gt;=$D20,X$4&lt;=$E20),"■","")</x:f>
      </x:c>
      <x:c r="Y20" s="137" t="str">
        <x:f>IF(AND(Y$4&gt;=$D20,Y$4&lt;=$E20),"■","")</x:f>
      </x:c>
      <x:c r="Z20" s="137" t="str">
        <x:f>IF(AND(Z$4&gt;=$D20,Z$4&lt;=$E20),"■","")</x:f>
      </x:c>
    </x:row>
    <x:row r="21" ht="34" customHeight="1">
      <x:c r="A21" s="86" t="str">
        <x:v>T17</x:v>
      </x:c>
      <x:c r="B21" s="86" t="str">
        <x:v>统一 text/cloud/rect/obb 的 refnos 读取、持久化与 PMS 快照恢复验收</x:v>
      </x:c>
      <x:c r="C21" s="86" t="str">
        <x:v>校审前端</x:v>
      </x:c>
      <x:c r="D21" s="87" t="n">
        <x:v>46219.166666666664</x:v>
      </x:c>
      <x:c r="E21" s="87" t="n">
        <x:v>46219.166666666664</x:v>
      </x:c>
      <x:c r="F21" s="86" t="str">
        <x:v>未开始</x:v>
      </x:c>
      <x:c r="G21" s="138" t="str">
        <x:f>IF(AND(G$4&gt;=$D21,G$4&lt;=$E21),"■","")</x:f>
      </x:c>
      <x:c r="H21" s="138" t="str">
        <x:f>IF(AND(H$4&gt;=$D21,H$4&lt;=$E21),"■","")</x:f>
      </x:c>
      <x:c r="I21" s="138" t="str">
        <x:f>IF(AND(I$4&gt;=$D21,I$4&lt;=$E21),"■","")</x:f>
        <x:v>■</x:v>
      </x:c>
      <x:c r="J21" s="138" t="str">
        <x:f>IF(AND(J$4&gt;=$D21,J$4&lt;=$E21),"■","")</x:f>
      </x:c>
      <x:c r="K21" s="138" t="str">
        <x:f>IF(AND(K$4&gt;=$D21,K$4&lt;=$E21),"■","")</x:f>
      </x:c>
      <x:c r="L21" s="138" t="str">
        <x:f>IF(AND(L$4&gt;=$D21,L$4&lt;=$E21),"■","")</x:f>
      </x:c>
      <x:c r="M21" s="138" t="str">
        <x:f>IF(AND(M$4&gt;=$D21,M$4&lt;=$E21),"■","")</x:f>
      </x:c>
      <x:c r="N21" s="138" t="str">
        <x:f>IF(AND(N$4&gt;=$D21,N$4&lt;=$E21),"■","")</x:f>
      </x:c>
      <x:c r="O21" s="138" t="str">
        <x:f>IF(AND(O$4&gt;=$D21,O$4&lt;=$E21),"■","")</x:f>
      </x:c>
      <x:c r="P21" s="138" t="str">
        <x:f>IF(AND(P$4&gt;=$D21,P$4&lt;=$E21),"■","")</x:f>
      </x:c>
      <x:c r="Q21" s="138" t="str">
        <x:f>IF(AND(Q$4&gt;=$D21,Q$4&lt;=$E21),"■","")</x:f>
      </x:c>
      <x:c r="R21" s="138" t="str">
        <x:f>IF(AND(R$4&gt;=$D21,R$4&lt;=$E21),"■","")</x:f>
      </x:c>
      <x:c r="S21" s="138" t="str">
        <x:f>IF(AND(S$4&gt;=$D21,S$4&lt;=$E21),"■","")</x:f>
      </x:c>
      <x:c r="T21" s="138" t="str">
        <x:f>IF(AND(T$4&gt;=$D21,T$4&lt;=$E21),"■","")</x:f>
      </x:c>
      <x:c r="U21" s="138" t="str">
        <x:f>IF(AND(U$4&gt;=$D21,U$4&lt;=$E21),"■","")</x:f>
      </x:c>
      <x:c r="V21" s="138" t="str">
        <x:f>IF(AND(V$4&gt;=$D21,V$4&lt;=$E21),"■","")</x:f>
      </x:c>
      <x:c r="W21" s="138" t="str">
        <x:f>IF(AND(W$4&gt;=$D21,W$4&lt;=$E21),"■","")</x:f>
      </x:c>
      <x:c r="X21" s="138" t="str">
        <x:f>IF(AND(X$4&gt;=$D21,X$4&lt;=$E21),"■","")</x:f>
      </x:c>
      <x:c r="Y21" s="138" t="str">
        <x:f>IF(AND(Y$4&gt;=$D21,Y$4&lt;=$E21),"■","")</x:f>
      </x:c>
      <x:c r="Z21" s="138" t="str">
        <x:f>IF(AND(Z$4&gt;=$D21,Z$4&lt;=$E21),"■","")</x:f>
      </x:c>
    </x:row>
    <x:row r="22" ht="34" customHeight="1">
      <x:c r="A22" s="86" t="str">
        <x:v>T18</x:v>
      </x:c>
      <x:c r="B22" s="86" t="str">
        <x:v>云线结束事件调用现有 captureAndUpload，补防重入、失败提示与重试</x:v>
      </x:c>
      <x:c r="C22" s="86" t="str">
        <x:v>校审前端</x:v>
      </x:c>
      <x:c r="D22" s="87" t="n">
        <x:v>46220.166666666664</x:v>
      </x:c>
      <x:c r="E22" s="87" t="n">
        <x:v>46223.166666666664</x:v>
      </x:c>
      <x:c r="F22" s="86" t="str">
        <x:v>未开始</x:v>
      </x:c>
      <x:c r="G22" s="138" t="str">
        <x:f>IF(AND(G$4&gt;=$D22,G$4&lt;=$E22),"■","")</x:f>
      </x:c>
      <x:c r="H22" s="138" t="str">
        <x:f>IF(AND(H$4&gt;=$D22,H$4&lt;=$E22),"■","")</x:f>
      </x:c>
      <x:c r="I22" s="138" t="str">
        <x:f>IF(AND(I$4&gt;=$D22,I$4&lt;=$E22),"■","")</x:f>
      </x:c>
      <x:c r="J22" s="138" t="str">
        <x:f>IF(AND(J$4&gt;=$D22,J$4&lt;=$E22),"■","")</x:f>
        <x:v>■</x:v>
      </x:c>
      <x:c r="K22" s="138" t="str">
        <x:f>IF(AND(K$4&gt;=$D22,K$4&lt;=$E22),"■","")</x:f>
        <x:v>■</x:v>
      </x:c>
      <x:c r="L22" s="138" t="str">
        <x:f>IF(AND(L$4&gt;=$D22,L$4&lt;=$E22),"■","")</x:f>
      </x:c>
      <x:c r="M22" s="138" t="str">
        <x:f>IF(AND(M$4&gt;=$D22,M$4&lt;=$E22),"■","")</x:f>
      </x:c>
      <x:c r="N22" s="138" t="str">
        <x:f>IF(AND(N$4&gt;=$D22,N$4&lt;=$E22),"■","")</x:f>
      </x:c>
      <x:c r="O22" s="138" t="str">
        <x:f>IF(AND(O$4&gt;=$D22,O$4&lt;=$E22),"■","")</x:f>
      </x:c>
      <x:c r="P22" s="138" t="str">
        <x:f>IF(AND(P$4&gt;=$D22,P$4&lt;=$E22),"■","")</x:f>
      </x:c>
      <x:c r="Q22" s="138" t="str">
        <x:f>IF(AND(Q$4&gt;=$D22,Q$4&lt;=$E22),"■","")</x:f>
      </x:c>
      <x:c r="R22" s="138" t="str">
        <x:f>IF(AND(R$4&gt;=$D22,R$4&lt;=$E22),"■","")</x:f>
      </x:c>
      <x:c r="S22" s="138" t="str">
        <x:f>IF(AND(S$4&gt;=$D22,S$4&lt;=$E22),"■","")</x:f>
      </x:c>
      <x:c r="T22" s="138" t="str">
        <x:f>IF(AND(T$4&gt;=$D22,T$4&lt;=$E22),"■","")</x:f>
      </x:c>
      <x:c r="U22" s="138" t="str">
        <x:f>IF(AND(U$4&gt;=$D22,U$4&lt;=$E22),"■","")</x:f>
      </x:c>
      <x:c r="V22" s="138" t="str">
        <x:f>IF(AND(V$4&gt;=$D22,V$4&lt;=$E22),"■","")</x:f>
      </x:c>
      <x:c r="W22" s="138" t="str">
        <x:f>IF(AND(W$4&gt;=$D22,W$4&lt;=$E22),"■","")</x:f>
      </x:c>
      <x:c r="X22" s="138" t="str">
        <x:f>IF(AND(X$4&gt;=$D22,X$4&lt;=$E22),"■","")</x:f>
      </x:c>
      <x:c r="Y22" s="138" t="str">
        <x:f>IF(AND(Y$4&gt;=$D22,Y$4&lt;=$E22),"■","")</x:f>
      </x:c>
      <x:c r="Z22" s="138" t="str">
        <x:f>IF(AND(Z$4&gt;=$D22,Z$4&lt;=$E22),"■","")</x:f>
      </x:c>
    </x:row>
    <x:row r="23" ht="34" customHeight="1">
      <x:c r="A23" s="86" t="str">
        <x:v>T19</x:v>
      </x:c>
      <x:c r="B23" s="86" t="str">
        <x:v>截图在工作区/表格/ReviewPanel/DesignerPanel 一致展示，重拍/删除清理附件</x:v>
      </x:c>
      <x:c r="C23" s="86" t="str">
        <x:v>QA/联调</x:v>
      </x:c>
      <x:c r="D23" s="87" t="n">
        <x:v>46224.166666666664</x:v>
      </x:c>
      <x:c r="E23" s="87" t="n">
        <x:v>46224.166666666664</x:v>
      </x:c>
      <x:c r="F23" s="86" t="str">
        <x:v>未开始</x:v>
      </x:c>
      <x:c r="G23" s="138" t="str">
        <x:f>IF(AND(G$4&gt;=$D23,G$4&lt;=$E23),"■","")</x:f>
      </x:c>
      <x:c r="H23" s="138" t="str">
        <x:f>IF(AND(H$4&gt;=$D23,H$4&lt;=$E23),"■","")</x:f>
      </x:c>
      <x:c r="I23" s="138" t="str">
        <x:f>IF(AND(I$4&gt;=$D23,I$4&lt;=$E23),"■","")</x:f>
      </x:c>
      <x:c r="J23" s="138" t="str">
        <x:f>IF(AND(J$4&gt;=$D23,J$4&lt;=$E23),"■","")</x:f>
      </x:c>
      <x:c r="K23" s="138" t="str">
        <x:f>IF(AND(K$4&gt;=$D23,K$4&lt;=$E23),"■","")</x:f>
      </x:c>
      <x:c r="L23" s="138" t="str">
        <x:f>IF(AND(L$4&gt;=$D23,L$4&lt;=$E23),"■","")</x:f>
        <x:v>■</x:v>
      </x:c>
      <x:c r="M23" s="138" t="str">
        <x:f>IF(AND(M$4&gt;=$D23,M$4&lt;=$E23),"■","")</x:f>
      </x:c>
      <x:c r="N23" s="138" t="str">
        <x:f>IF(AND(N$4&gt;=$D23,N$4&lt;=$E23),"■","")</x:f>
      </x:c>
      <x:c r="O23" s="138" t="str">
        <x:f>IF(AND(O$4&gt;=$D23,O$4&lt;=$E23),"■","")</x:f>
      </x:c>
      <x:c r="P23" s="138" t="str">
        <x:f>IF(AND(P$4&gt;=$D23,P$4&lt;=$E23),"■","")</x:f>
      </x:c>
      <x:c r="Q23" s="138" t="str">
        <x:f>IF(AND(Q$4&gt;=$D23,Q$4&lt;=$E23),"■","")</x:f>
      </x:c>
      <x:c r="R23" s="138" t="str">
        <x:f>IF(AND(R$4&gt;=$D23,R$4&lt;=$E23),"■","")</x:f>
      </x:c>
      <x:c r="S23" s="138" t="str">
        <x:f>IF(AND(S$4&gt;=$D23,S$4&lt;=$E23),"■","")</x:f>
      </x:c>
      <x:c r="T23" s="138" t="str">
        <x:f>IF(AND(T$4&gt;=$D23,T$4&lt;=$E23),"■","")</x:f>
      </x:c>
      <x:c r="U23" s="138" t="str">
        <x:f>IF(AND(U$4&gt;=$D23,U$4&lt;=$E23),"■","")</x:f>
      </x:c>
      <x:c r="V23" s="138" t="str">
        <x:f>IF(AND(V$4&gt;=$D23,V$4&lt;=$E23),"■","")</x:f>
      </x:c>
      <x:c r="W23" s="138" t="str">
        <x:f>IF(AND(W$4&gt;=$D23,W$4&lt;=$E23),"■","")</x:f>
      </x:c>
      <x:c r="X23" s="138" t="str">
        <x:f>IF(AND(X$4&gt;=$D23,X$4&lt;=$E23),"■","")</x:f>
      </x:c>
      <x:c r="Y23" s="138" t="str">
        <x:f>IF(AND(Y$4&gt;=$D23,Y$4&lt;=$E23),"■","")</x:f>
      </x:c>
      <x:c r="Z23" s="138" t="str">
        <x:f>IF(AND(Z$4&gt;=$D23,Z$4&lt;=$E23),"■","")</x:f>
      </x:c>
    </x:row>
    <x:row r="24" ht="34" customHeight="1">
      <x:c r="A24" s="86" t="str">
        <x:v>T20</x:v>
      </x:c>
      <x:c r="B24" s="86" t="str">
        <x:v>实现关联文件预览：pdfjs PDF、mammoth DOCX，异常安全下载与类型/大小限制</x:v>
      </x:c>
      <x:c r="C24" s="86" t="str">
        <x:v>校审前端</x:v>
      </x:c>
      <x:c r="D24" s="87" t="n">
        <x:v>46225.166666666664</x:v>
      </x:c>
      <x:c r="E24" s="87" t="n">
        <x:v>46227.166666666664</x:v>
      </x:c>
      <x:c r="F24" s="86" t="str">
        <x:v>未开始</x:v>
      </x:c>
      <x:c r="G24" s="138" t="str">
        <x:f>IF(AND(G$4&gt;=$D24,G$4&lt;=$E24),"■","")</x:f>
      </x:c>
      <x:c r="H24" s="138" t="str">
        <x:f>IF(AND(H$4&gt;=$D24,H$4&lt;=$E24),"■","")</x:f>
      </x:c>
      <x:c r="I24" s="138" t="str">
        <x:f>IF(AND(I$4&gt;=$D24,I$4&lt;=$E24),"■","")</x:f>
      </x:c>
      <x:c r="J24" s="138" t="str">
        <x:f>IF(AND(J$4&gt;=$D24,J$4&lt;=$E24),"■","")</x:f>
      </x:c>
      <x:c r="K24" s="138" t="str">
        <x:f>IF(AND(K$4&gt;=$D24,K$4&lt;=$E24),"■","")</x:f>
      </x:c>
      <x:c r="L24" s="138" t="str">
        <x:f>IF(AND(L$4&gt;=$D24,L$4&lt;=$E24),"■","")</x:f>
      </x:c>
      <x:c r="M24" s="138" t="str">
        <x:f>IF(AND(M$4&gt;=$D24,M$4&lt;=$E24),"■","")</x:f>
        <x:v>■</x:v>
      </x:c>
      <x:c r="N24" s="138" t="str">
        <x:f>IF(AND(N$4&gt;=$D24,N$4&lt;=$E24),"■","")</x:f>
        <x:v>■</x:v>
      </x:c>
      <x:c r="O24" s="138" t="str">
        <x:f>IF(AND(O$4&gt;=$D24,O$4&lt;=$E24),"■","")</x:f>
        <x:v>■</x:v>
      </x:c>
      <x:c r="P24" s="138" t="str">
        <x:f>IF(AND(P$4&gt;=$D24,P$4&lt;=$E24),"■","")</x:f>
      </x:c>
      <x:c r="Q24" s="138" t="str">
        <x:f>IF(AND(Q$4&gt;=$D24,Q$4&lt;=$E24),"■","")</x:f>
      </x:c>
      <x:c r="R24" s="138" t="str">
        <x:f>IF(AND(R$4&gt;=$D24,R$4&lt;=$E24),"■","")</x:f>
      </x:c>
      <x:c r="S24" s="138" t="str">
        <x:f>IF(AND(S$4&gt;=$D24,S$4&lt;=$E24),"■","")</x:f>
      </x:c>
      <x:c r="T24" s="138" t="str">
        <x:f>IF(AND(T$4&gt;=$D24,T$4&lt;=$E24),"■","")</x:f>
      </x:c>
      <x:c r="U24" s="138" t="str">
        <x:f>IF(AND(U$4&gt;=$D24,U$4&lt;=$E24),"■","")</x:f>
      </x:c>
      <x:c r="V24" s="138" t="str">
        <x:f>IF(AND(V$4&gt;=$D24,V$4&lt;=$E24),"■","")</x:f>
      </x:c>
      <x:c r="W24" s="138" t="str">
        <x:f>IF(AND(W$4&gt;=$D24,W$4&lt;=$E24),"■","")</x:f>
      </x:c>
      <x:c r="X24" s="138" t="str">
        <x:f>IF(AND(X$4&gt;=$D24,X$4&lt;=$E24),"■","")</x:f>
      </x:c>
      <x:c r="Y24" s="138" t="str">
        <x:f>IF(AND(Y$4&gt;=$D24,Y$4&lt;=$E24),"■","")</x:f>
      </x:c>
      <x:c r="Z24" s="138" t="str">
        <x:f>IF(AND(Z$4&gt;=$D24,Z$4&lt;=$E24),"■","")</x:f>
      </x:c>
    </x:row>
    <x:row r="25" ht="34" customHeight="1">
      <x:c r="A25" s="86" t="str">
        <x:v>T21</x:v>
      </x:c>
      <x:c r="B25" s="86" t="str">
        <x:v>统一模型树、批注、版本差异的 selectionStore/highlighter/定位/清除行为</x:v>
      </x:c>
      <x:c r="C25" s="86" t="str">
        <x:v>前端/3D</x:v>
      </x:c>
      <x:c r="D25" s="87" t="n">
        <x:v>46230.166666666664</x:v>
      </x:c>
      <x:c r="E25" s="87" t="n">
        <x:v>46230.166666666664</x:v>
      </x:c>
      <x:c r="F25" s="86" t="str">
        <x:v>未开始</x:v>
      </x:c>
      <x:c r="G25" s="135" t="str">
        <x:f>IF(AND(G$4&gt;=$D25,G$4&lt;=$E25),"■","")</x:f>
      </x:c>
      <x:c r="H25" s="135" t="str">
        <x:f>IF(AND(H$4&gt;=$D25,H$4&lt;=$E25),"■","")</x:f>
      </x:c>
      <x:c r="I25" s="135" t="str">
        <x:f>IF(AND(I$4&gt;=$D25,I$4&lt;=$E25),"■","")</x:f>
      </x:c>
      <x:c r="J25" s="135" t="str">
        <x:f>IF(AND(J$4&gt;=$D25,J$4&lt;=$E25),"■","")</x:f>
      </x:c>
      <x:c r="K25" s="135" t="str">
        <x:f>IF(AND(K$4&gt;=$D25,K$4&lt;=$E25),"■","")</x:f>
      </x:c>
      <x:c r="L25" s="135" t="str">
        <x:f>IF(AND(L$4&gt;=$D25,L$4&lt;=$E25),"■","")</x:f>
      </x:c>
      <x:c r="M25" s="135" t="str">
        <x:f>IF(AND(M$4&gt;=$D25,M$4&lt;=$E25),"■","")</x:f>
      </x:c>
      <x:c r="N25" s="135" t="str">
        <x:f>IF(AND(N$4&gt;=$D25,N$4&lt;=$E25),"■","")</x:f>
      </x:c>
      <x:c r="O25" s="135" t="str">
        <x:f>IF(AND(O$4&gt;=$D25,O$4&lt;=$E25),"■","")</x:f>
      </x:c>
      <x:c r="P25" s="135" t="str">
        <x:f>IF(AND(P$4&gt;=$D25,P$4&lt;=$E25),"■","")</x:f>
        <x:v>■</x:v>
      </x:c>
      <x:c r="Q25" s="135" t="str">
        <x:f>IF(AND(Q$4&gt;=$D25,Q$4&lt;=$E25),"■","")</x:f>
      </x:c>
      <x:c r="R25" s="135" t="str">
        <x:f>IF(AND(R$4&gt;=$D25,R$4&lt;=$E25),"■","")</x:f>
      </x:c>
      <x:c r="S25" s="135" t="str">
        <x:f>IF(AND(S$4&gt;=$D25,S$4&lt;=$E25),"■","")</x:f>
      </x:c>
      <x:c r="T25" s="135" t="str">
        <x:f>IF(AND(T$4&gt;=$D25,T$4&lt;=$E25),"■","")</x:f>
      </x:c>
      <x:c r="U25" s="135" t="str">
        <x:f>IF(AND(U$4&gt;=$D25,U$4&lt;=$E25),"■","")</x:f>
      </x:c>
      <x:c r="V25" s="135" t="str">
        <x:f>IF(AND(V$4&gt;=$D25,V$4&lt;=$E25),"■","")</x:f>
      </x:c>
      <x:c r="W25" s="135" t="str">
        <x:f>IF(AND(W$4&gt;=$D25,W$4&lt;=$E25),"■","")</x:f>
      </x:c>
      <x:c r="X25" s="135" t="str">
        <x:f>IF(AND(X$4&gt;=$D25,X$4&lt;=$E25),"■","")</x:f>
      </x:c>
      <x:c r="Y25" s="135" t="str">
        <x:f>IF(AND(Y$4&gt;=$D25,Y$4&lt;=$E25),"■","")</x:f>
      </x:c>
      <x:c r="Z25" s="135" t="str">
        <x:f>IF(AND(Z$4&gt;=$D25,Z$4&lt;=$E25),"■","")</x:f>
      </x:c>
    </x:row>
    <x:row r="26" ht="34" customHeight="1">
      <x:c r="A26" s="86" t="str">
        <x:v>T22</x:v>
      </x:c>
      <x:c r="B26" s="86" t="str">
        <x:v>在现有 nearby 查询上增加“以当前选中构件为中心”的半径隔离与恢复</x:v>
      </x:c>
      <x:c r="C26" s="86" t="str">
        <x:v>前端/3D</x:v>
      </x:c>
      <x:c r="D26" s="87" t="n">
        <x:v>46224.166666666664</x:v>
      </x:c>
      <x:c r="E26" s="87" t="n">
        <x:v>46225.166666666664</x:v>
      </x:c>
      <x:c r="F26" s="86" t="str">
        <x:v>未开始</x:v>
      </x:c>
      <x:c r="G26" s="139" t="str">
        <x:f>IF(AND(G$4&gt;=$D26,G$4&lt;=$E26),"■","")</x:f>
      </x:c>
      <x:c r="H26" s="139" t="str">
        <x:f>IF(AND(H$4&gt;=$D26,H$4&lt;=$E26),"■","")</x:f>
      </x:c>
      <x:c r="I26" s="139" t="str">
        <x:f>IF(AND(I$4&gt;=$D26,I$4&lt;=$E26),"■","")</x:f>
      </x:c>
      <x:c r="J26" s="139" t="str">
        <x:f>IF(AND(J$4&gt;=$D26,J$4&lt;=$E26),"■","")</x:f>
      </x:c>
      <x:c r="K26" s="139" t="str">
        <x:f>IF(AND(K$4&gt;=$D26,K$4&lt;=$E26),"■","")</x:f>
      </x:c>
      <x:c r="L26" s="139" t="str">
        <x:f>IF(AND(L$4&gt;=$D26,L$4&lt;=$E26),"■","")</x:f>
        <x:v>■</x:v>
      </x:c>
      <x:c r="M26" s="139" t="str">
        <x:f>IF(AND(M$4&gt;=$D26,M$4&lt;=$E26),"■","")</x:f>
        <x:v>■</x:v>
      </x:c>
      <x:c r="N26" s="139" t="str">
        <x:f>IF(AND(N$4&gt;=$D26,N$4&lt;=$E26),"■","")</x:f>
      </x:c>
      <x:c r="O26" s="139" t="str">
        <x:f>IF(AND(O$4&gt;=$D26,O$4&lt;=$E26),"■","")</x:f>
      </x:c>
      <x:c r="P26" s="139" t="str">
        <x:f>IF(AND(P$4&gt;=$D26,P$4&lt;=$E26),"■","")</x:f>
      </x:c>
      <x:c r="Q26" s="139" t="str">
        <x:f>IF(AND(Q$4&gt;=$D26,Q$4&lt;=$E26),"■","")</x:f>
      </x:c>
      <x:c r="R26" s="139" t="str">
        <x:f>IF(AND(R$4&gt;=$D26,R$4&lt;=$E26),"■","")</x:f>
      </x:c>
      <x:c r="S26" s="139" t="str">
        <x:f>IF(AND(S$4&gt;=$D26,S$4&lt;=$E26),"■","")</x:f>
      </x:c>
      <x:c r="T26" s="139" t="str">
        <x:f>IF(AND(T$4&gt;=$D26,T$4&lt;=$E26),"■","")</x:f>
      </x:c>
      <x:c r="U26" s="139" t="str">
        <x:f>IF(AND(U$4&gt;=$D26,U$4&lt;=$E26),"■","")</x:f>
      </x:c>
      <x:c r="V26" s="139" t="str">
        <x:f>IF(AND(V$4&gt;=$D26,V$4&lt;=$E26),"■","")</x:f>
      </x:c>
      <x:c r="W26" s="139" t="str">
        <x:f>IF(AND(W$4&gt;=$D26,W$4&lt;=$E26),"■","")</x:f>
      </x:c>
      <x:c r="X26" s="139" t="str">
        <x:f>IF(AND(X$4&gt;=$D26,X$4&lt;=$E26),"■","")</x:f>
      </x:c>
      <x:c r="Y26" s="139" t="str">
        <x:f>IF(AND(Y$4&gt;=$D26,Y$4&lt;=$E26),"■","")</x:f>
      </x:c>
      <x:c r="Z26" s="139" t="str">
        <x:f>IF(AND(Z$4&gt;=$D26,Z$4&lt;=$E26),"■","")</x:f>
      </x:c>
    </x:row>
    <x:row r="27" ht="34" customHeight="1">
      <x:c r="A27" s="86" t="str">
        <x:v>T23</x:v>
      </x:c>
      <x:c r="B27" s="86" t="str">
        <x:v>为跨范围边界管道增加 DTX 球/盒裁剪，保留非管道显隐逻辑</x:v>
      </x:c>
      <x:c r="C27" s="86" t="str">
        <x:v>前端/3D</x:v>
      </x:c>
      <x:c r="D27" s="87" t="n">
        <x:v>46226.166666666664</x:v>
      </x:c>
      <x:c r="E27" s="87" t="n">
        <x:v>46230.166666666664</x:v>
      </x:c>
      <x:c r="F27" s="86" t="str">
        <x:v>未开始</x:v>
      </x:c>
      <x:c r="G27" s="139" t="str">
        <x:f>IF(AND(G$4&gt;=$D27,G$4&lt;=$E27),"■","")</x:f>
      </x:c>
      <x:c r="H27" s="139" t="str">
        <x:f>IF(AND(H$4&gt;=$D27,H$4&lt;=$E27),"■","")</x:f>
      </x:c>
      <x:c r="I27" s="139" t="str">
        <x:f>IF(AND(I$4&gt;=$D27,I$4&lt;=$E27),"■","")</x:f>
      </x:c>
      <x:c r="J27" s="139" t="str">
        <x:f>IF(AND(J$4&gt;=$D27,J$4&lt;=$E27),"■","")</x:f>
      </x:c>
      <x:c r="K27" s="139" t="str">
        <x:f>IF(AND(K$4&gt;=$D27,K$4&lt;=$E27),"■","")</x:f>
      </x:c>
      <x:c r="L27" s="139" t="str">
        <x:f>IF(AND(L$4&gt;=$D27,L$4&lt;=$E27),"■","")</x:f>
      </x:c>
      <x:c r="M27" s="139" t="str">
        <x:f>IF(AND(M$4&gt;=$D27,M$4&lt;=$E27),"■","")</x:f>
      </x:c>
      <x:c r="N27" s="139" t="str">
        <x:f>IF(AND(N$4&gt;=$D27,N$4&lt;=$E27),"■","")</x:f>
        <x:v>■</x:v>
      </x:c>
      <x:c r="O27" s="139" t="str">
        <x:f>IF(AND(O$4&gt;=$D27,O$4&lt;=$E27),"■","")</x:f>
        <x:v>■</x:v>
      </x:c>
      <x:c r="P27" s="139" t="str">
        <x:f>IF(AND(P$4&gt;=$D27,P$4&lt;=$E27),"■","")</x:f>
        <x:v>■</x:v>
      </x:c>
      <x:c r="Q27" s="139" t="str">
        <x:f>IF(AND(Q$4&gt;=$D27,Q$4&lt;=$E27),"■","")</x:f>
      </x:c>
      <x:c r="R27" s="139" t="str">
        <x:f>IF(AND(R$4&gt;=$D27,R$4&lt;=$E27),"■","")</x:f>
      </x:c>
      <x:c r="S27" s="139" t="str">
        <x:f>IF(AND(S$4&gt;=$D27,S$4&lt;=$E27),"■","")</x:f>
      </x:c>
      <x:c r="T27" s="139" t="str">
        <x:f>IF(AND(T$4&gt;=$D27,T$4&lt;=$E27),"■","")</x:f>
      </x:c>
      <x:c r="U27" s="139" t="str">
        <x:f>IF(AND(U$4&gt;=$D27,U$4&lt;=$E27),"■","")</x:f>
      </x:c>
      <x:c r="V27" s="139" t="str">
        <x:f>IF(AND(V$4&gt;=$D27,V$4&lt;=$E27),"■","")</x:f>
      </x:c>
      <x:c r="W27" s="139" t="str">
        <x:f>IF(AND(W$4&gt;=$D27,W$4&lt;=$E27),"■","")</x:f>
      </x:c>
      <x:c r="X27" s="139" t="str">
        <x:f>IF(AND(X$4&gt;=$D27,X$4&lt;=$E27),"■","")</x:f>
      </x:c>
      <x:c r="Y27" s="139" t="str">
        <x:f>IF(AND(Y$4&gt;=$D27,Y$4&lt;=$E27),"■","")</x:f>
      </x:c>
      <x:c r="Z27" s="139" t="str">
        <x:f>IF(AND(Z$4&gt;=$D27,Z$4&lt;=$E27),"■","")</x:f>
      </x:c>
    </x:row>
    <x:row r="28" ht="34" customHeight="1">
      <x:c r="A28" s="86" t="str">
        <x:v>T24</x:v>
      </x:c>
      <x:c r="B28" s="86" t="str">
        <x:v>大结果集查询、隔离、裁剪、取消的性能与状态恢复验证</x:v>
      </x:c>
      <x:c r="C28" s="86" t="str">
        <x:v>QA/联调</x:v>
      </x:c>
      <x:c r="D28" s="87" t="n">
        <x:v>46231.166666666664</x:v>
      </x:c>
      <x:c r="E28" s="87" t="n">
        <x:v>46231.166666666664</x:v>
      </x:c>
      <x:c r="F28" s="86" t="str">
        <x:v>未开始</x:v>
      </x:c>
      <x:c r="G28" s="139" t="str">
        <x:f>IF(AND(G$4&gt;=$D28,G$4&lt;=$E28),"■","")</x:f>
      </x:c>
      <x:c r="H28" s="139" t="str">
        <x:f>IF(AND(H$4&gt;=$D28,H$4&lt;=$E28),"■","")</x:f>
      </x:c>
      <x:c r="I28" s="139" t="str">
        <x:f>IF(AND(I$4&gt;=$D28,I$4&lt;=$E28),"■","")</x:f>
      </x:c>
      <x:c r="J28" s="139" t="str">
        <x:f>IF(AND(J$4&gt;=$D28,J$4&lt;=$E28),"■","")</x:f>
      </x:c>
      <x:c r="K28" s="139" t="str">
        <x:f>IF(AND(K$4&gt;=$D28,K$4&lt;=$E28),"■","")</x:f>
      </x:c>
      <x:c r="L28" s="139" t="str">
        <x:f>IF(AND(L$4&gt;=$D28,L$4&lt;=$E28),"■","")</x:f>
      </x:c>
      <x:c r="M28" s="139" t="str">
        <x:f>IF(AND(M$4&gt;=$D28,M$4&lt;=$E28),"■","")</x:f>
      </x:c>
      <x:c r="N28" s="139" t="str">
        <x:f>IF(AND(N$4&gt;=$D28,N$4&lt;=$E28),"■","")</x:f>
      </x:c>
      <x:c r="O28" s="139" t="str">
        <x:f>IF(AND(O$4&gt;=$D28,O$4&lt;=$E28),"■","")</x:f>
      </x:c>
      <x:c r="P28" s="139" t="str">
        <x:f>IF(AND(P$4&gt;=$D28,P$4&lt;=$E28),"■","")</x:f>
      </x:c>
      <x:c r="Q28" s="139" t="str">
        <x:f>IF(AND(Q$4&gt;=$D28,Q$4&lt;=$E28),"■","")</x:f>
        <x:v>■</x:v>
      </x:c>
      <x:c r="R28" s="139" t="str">
        <x:f>IF(AND(R$4&gt;=$D28,R$4&lt;=$E28),"■","")</x:f>
      </x:c>
      <x:c r="S28" s="139" t="str">
        <x:f>IF(AND(S$4&gt;=$D28,S$4&lt;=$E28),"■","")</x:f>
      </x:c>
      <x:c r="T28" s="139" t="str">
        <x:f>IF(AND(T$4&gt;=$D28,T$4&lt;=$E28),"■","")</x:f>
      </x:c>
      <x:c r="U28" s="139" t="str">
        <x:f>IF(AND(U$4&gt;=$D28,U$4&lt;=$E28),"■","")</x:f>
      </x:c>
      <x:c r="V28" s="139" t="str">
        <x:f>IF(AND(V$4&gt;=$D28,V$4&lt;=$E28),"■","")</x:f>
      </x:c>
      <x:c r="W28" s="139" t="str">
        <x:f>IF(AND(W$4&gt;=$D28,W$4&lt;=$E28),"■","")</x:f>
      </x:c>
      <x:c r="X28" s="139" t="str">
        <x:f>IF(AND(X$4&gt;=$D28,X$4&lt;=$E28),"■","")</x:f>
      </x:c>
      <x:c r="Y28" s="139" t="str">
        <x:f>IF(AND(Y$4&gt;=$D28,Y$4&lt;=$E28),"■","")</x:f>
      </x:c>
      <x:c r="Z28" s="139" t="str">
        <x:f>IF(AND(Z$4&gt;=$D28,Z$4&lt;=$E28),"■","")</x:f>
      </x:c>
    </x:row>
    <x:row r="29" ht="34" customHeight="1">
      <x:c r="A29" s="86" t="str">
        <x:v>T25</x:v>
      </x:c>
      <x:c r="B29" s="86" t="str">
        <x:v>按 E3D 操作模式验收 P-Point/Item 原点、加载中防误选、距离/角度/标高</x:v>
      </x:c>
      <x:c r="C29" s="86" t="str">
        <x:v>前端/3D</x:v>
      </x:c>
      <x:c r="D29" s="87" t="n">
        <x:v>46223.166666666664</x:v>
      </x:c>
      <x:c r="E29" s="87" t="n">
        <x:v>46224.166666666664</x:v>
      </x:c>
      <x:c r="F29" s="86" t="str">
        <x:v>未开始</x:v>
      </x:c>
      <x:c r="G29" s="140" t="str">
        <x:f>IF(AND(G$4&gt;=$D29,G$4&lt;=$E29),"■","")</x:f>
      </x:c>
      <x:c r="H29" s="140" t="str">
        <x:f>IF(AND(H$4&gt;=$D29,H$4&lt;=$E29),"■","")</x:f>
      </x:c>
      <x:c r="I29" s="140" t="str">
        <x:f>IF(AND(I$4&gt;=$D29,I$4&lt;=$E29),"■","")</x:f>
      </x:c>
      <x:c r="J29" s="140" t="str">
        <x:f>IF(AND(J$4&gt;=$D29,J$4&lt;=$E29),"■","")</x:f>
      </x:c>
      <x:c r="K29" s="140" t="str">
        <x:f>IF(AND(K$4&gt;=$D29,K$4&lt;=$E29),"■","")</x:f>
        <x:v>■</x:v>
      </x:c>
      <x:c r="L29" s="140" t="str">
        <x:f>IF(AND(L$4&gt;=$D29,L$4&lt;=$E29),"■","")</x:f>
        <x:v>■</x:v>
      </x:c>
      <x:c r="M29" s="140" t="str">
        <x:f>IF(AND(M$4&gt;=$D29,M$4&lt;=$E29),"■","")</x:f>
      </x:c>
      <x:c r="N29" s="140" t="str">
        <x:f>IF(AND(N$4&gt;=$D29,N$4&lt;=$E29),"■","")</x:f>
      </x:c>
      <x:c r="O29" s="140" t="str">
        <x:f>IF(AND(O$4&gt;=$D29,O$4&lt;=$E29),"■","")</x:f>
      </x:c>
      <x:c r="P29" s="140" t="str">
        <x:f>IF(AND(P$4&gt;=$D29,P$4&lt;=$E29),"■","")</x:f>
      </x:c>
      <x:c r="Q29" s="140" t="str">
        <x:f>IF(AND(Q$4&gt;=$D29,Q$4&lt;=$E29),"■","")</x:f>
      </x:c>
      <x:c r="R29" s="140" t="str">
        <x:f>IF(AND(R$4&gt;=$D29,R$4&lt;=$E29),"■","")</x:f>
      </x:c>
      <x:c r="S29" s="140" t="str">
        <x:f>IF(AND(S$4&gt;=$D29,S$4&lt;=$E29),"■","")</x:f>
      </x:c>
      <x:c r="T29" s="140" t="str">
        <x:f>IF(AND(T$4&gt;=$D29,T$4&lt;=$E29),"■","")</x:f>
      </x:c>
      <x:c r="U29" s="140" t="str">
        <x:f>IF(AND(U$4&gt;=$D29,U$4&lt;=$E29),"■","")</x:f>
      </x:c>
      <x:c r="V29" s="140" t="str">
        <x:f>IF(AND(V$4&gt;=$D29,V$4&lt;=$E29),"■","")</x:f>
      </x:c>
      <x:c r="W29" s="140" t="str">
        <x:f>IF(AND(W$4&gt;=$D29,W$4&lt;=$E29),"■","")</x:f>
      </x:c>
      <x:c r="X29" s="140" t="str">
        <x:f>IF(AND(X$4&gt;=$D29,X$4&lt;=$E29),"■","")</x:f>
      </x:c>
      <x:c r="Y29" s="140" t="str">
        <x:f>IF(AND(Y$4&gt;=$D29,Y$4&lt;=$E29),"■","")</x:f>
      </x:c>
      <x:c r="Z29" s="140" t="str">
        <x:f>IF(AND(Z$4&gt;=$D29,Z$4&lt;=$E29),"■","")</x:f>
      </x:c>
    </x:row>
    <x:row r="30" ht="34" customHeight="1">
      <x:c r="A30" s="86" t="str">
        <x:v>T26</x:v>
      </x:c>
      <x:c r="B30" s="86" t="str">
        <x:v>验证并加固构件-构件最近点：候选退化、精度阈值、单位与结果持久化</x:v>
      </x:c>
      <x:c r="C30" s="86" t="str">
        <x:v>前端/3D</x:v>
      </x:c>
      <x:c r="D30" s="87" t="n">
        <x:v>46225.166666666664</x:v>
      </x:c>
      <x:c r="E30" s="87" t="n">
        <x:v>46226.166666666664</x:v>
      </x:c>
      <x:c r="F30" s="86" t="str">
        <x:v>未开始</x:v>
      </x:c>
      <x:c r="G30" s="140" t="str">
        <x:f>IF(AND(G$4&gt;=$D30,G$4&lt;=$E30),"■","")</x:f>
      </x:c>
      <x:c r="H30" s="140" t="str">
        <x:f>IF(AND(H$4&gt;=$D30,H$4&lt;=$E30),"■","")</x:f>
      </x:c>
      <x:c r="I30" s="140" t="str">
        <x:f>IF(AND(I$4&gt;=$D30,I$4&lt;=$E30),"■","")</x:f>
      </x:c>
      <x:c r="J30" s="140" t="str">
        <x:f>IF(AND(J$4&gt;=$D30,J$4&lt;=$E30),"■","")</x:f>
      </x:c>
      <x:c r="K30" s="140" t="str">
        <x:f>IF(AND(K$4&gt;=$D30,K$4&lt;=$E30),"■","")</x:f>
      </x:c>
      <x:c r="L30" s="140" t="str">
        <x:f>IF(AND(L$4&gt;=$D30,L$4&lt;=$E30),"■","")</x:f>
      </x:c>
      <x:c r="M30" s="140" t="str">
        <x:f>IF(AND(M$4&gt;=$D30,M$4&lt;=$E30),"■","")</x:f>
        <x:v>■</x:v>
      </x:c>
      <x:c r="N30" s="140" t="str">
        <x:f>IF(AND(N$4&gt;=$D30,N$4&lt;=$E30),"■","")</x:f>
        <x:v>■</x:v>
      </x:c>
      <x:c r="O30" s="140" t="str">
        <x:f>IF(AND(O$4&gt;=$D30,O$4&lt;=$E30),"■","")</x:f>
      </x:c>
      <x:c r="P30" s="140" t="str">
        <x:f>IF(AND(P$4&gt;=$D30,P$4&lt;=$E30),"■","")</x:f>
      </x:c>
      <x:c r="Q30" s="140" t="str">
        <x:f>IF(AND(Q$4&gt;=$D30,Q$4&lt;=$E30),"■","")</x:f>
      </x:c>
      <x:c r="R30" s="140" t="str">
        <x:f>IF(AND(R$4&gt;=$D30,R$4&lt;=$E30),"■","")</x:f>
      </x:c>
      <x:c r="S30" s="140" t="str">
        <x:f>IF(AND(S$4&gt;=$D30,S$4&lt;=$E30),"■","")</x:f>
      </x:c>
      <x:c r="T30" s="140" t="str">
        <x:f>IF(AND(T$4&gt;=$D30,T$4&lt;=$E30),"■","")</x:f>
      </x:c>
      <x:c r="U30" s="140" t="str">
        <x:f>IF(AND(U$4&gt;=$D30,U$4&lt;=$E30),"■","")</x:f>
      </x:c>
      <x:c r="V30" s="140" t="str">
        <x:f>IF(AND(V$4&gt;=$D30,V$4&lt;=$E30),"■","")</x:f>
      </x:c>
      <x:c r="W30" s="140" t="str">
        <x:f>IF(AND(W$4&gt;=$D30,W$4&lt;=$E30),"■","")</x:f>
      </x:c>
      <x:c r="X30" s="140" t="str">
        <x:f>IF(AND(X$4&gt;=$D30,X$4&lt;=$E30),"■","")</x:f>
      </x:c>
      <x:c r="Y30" s="140" t="str">
        <x:f>IF(AND(Y$4&gt;=$D30,Y$4&lt;=$E30),"■","")</x:f>
      </x:c>
      <x:c r="Z30" s="140" t="str">
        <x:f>IF(AND(Z$4&gt;=$D30,Z$4&lt;=$E30),"■","")</x:f>
      </x:c>
    </x:row>
    <x:row r="31" ht="34" customHeight="1">
      <x:c r="A31" s="86" t="str">
        <x:v>T27</x:v>
      </x:c>
      <x:c r="B31" s="86" t="str">
        <x:v>在 AABB 粗筛后增加管道外包络到 beam/slab/column/wall 的窄相位精算</x:v>
      </x:c>
      <x:c r="C31" s="86" t="str">
        <x:v>后端/Rust</x:v>
      </x:c>
      <x:c r="D31" s="87" t="n">
        <x:v>46227.166666666664</x:v>
      </x:c>
      <x:c r="E31" s="87" t="n">
        <x:v>46232.166666666664</x:v>
      </x:c>
      <x:c r="F31" s="86" t="str">
        <x:v>未开始</x:v>
      </x:c>
      <x:c r="G31" s="141" t="str">
        <x:f>IF(AND(G$4&gt;=$D31,G$4&lt;=$E31),"■","")</x:f>
      </x:c>
      <x:c r="H31" s="141" t="str">
        <x:f>IF(AND(H$4&gt;=$D31,H$4&lt;=$E31),"■","")</x:f>
      </x:c>
      <x:c r="I31" s="141" t="str">
        <x:f>IF(AND(I$4&gt;=$D31,I$4&lt;=$E31),"■","")</x:f>
      </x:c>
      <x:c r="J31" s="141" t="str">
        <x:f>IF(AND(J$4&gt;=$D31,J$4&lt;=$E31),"■","")</x:f>
      </x:c>
      <x:c r="K31" s="141" t="str">
        <x:f>IF(AND(K$4&gt;=$D31,K$4&lt;=$E31),"■","")</x:f>
      </x:c>
      <x:c r="L31" s="141" t="str">
        <x:f>IF(AND(L$4&gt;=$D31,L$4&lt;=$E31),"■","")</x:f>
      </x:c>
      <x:c r="M31" s="141" t="str">
        <x:f>IF(AND(M$4&gt;=$D31,M$4&lt;=$E31),"■","")</x:f>
      </x:c>
      <x:c r="N31" s="141" t="str">
        <x:f>IF(AND(N$4&gt;=$D31,N$4&lt;=$E31),"■","")</x:f>
      </x:c>
      <x:c r="O31" s="141" t="str">
        <x:f>IF(AND(O$4&gt;=$D31,O$4&lt;=$E31),"■","")</x:f>
        <x:v>■</x:v>
      </x:c>
      <x:c r="P31" s="141" t="str">
        <x:f>IF(AND(P$4&gt;=$D31,P$4&lt;=$E31),"■","")</x:f>
        <x:v>■</x:v>
      </x:c>
      <x:c r="Q31" s="141" t="str">
        <x:f>IF(AND(Q$4&gt;=$D31,Q$4&lt;=$E31),"■","")</x:f>
        <x:v>■</x:v>
      </x:c>
      <x:c r="R31" s="141" t="str">
        <x:f>IF(AND(R$4&gt;=$D31,R$4&lt;=$E31),"■","")</x:f>
        <x:v>■</x:v>
      </x:c>
      <x:c r="S31" s="141" t="str">
        <x:f>IF(AND(S$4&gt;=$D31,S$4&lt;=$E31),"■","")</x:f>
      </x:c>
      <x:c r="T31" s="141" t="str">
        <x:f>IF(AND(T$4&gt;=$D31,T$4&lt;=$E31),"■","")</x:f>
      </x:c>
      <x:c r="U31" s="141" t="str">
        <x:f>IF(AND(U$4&gt;=$D31,U$4&lt;=$E31),"■","")</x:f>
      </x:c>
      <x:c r="V31" s="141" t="str">
        <x:f>IF(AND(V$4&gt;=$D31,V$4&lt;=$E31),"■","")</x:f>
      </x:c>
      <x:c r="W31" s="141" t="str">
        <x:f>IF(AND(W$4&gt;=$D31,W$4&lt;=$E31),"■","")</x:f>
      </x:c>
      <x:c r="X31" s="141" t="str">
        <x:f>IF(AND(X$4&gt;=$D31,X$4&lt;=$E31),"■","")</x:f>
      </x:c>
      <x:c r="Y31" s="141" t="str">
        <x:f>IF(AND(Y$4&gt;=$D31,Y$4&lt;=$E31),"■","")</x:f>
      </x:c>
      <x:c r="Z31" s="141" t="str">
        <x:f>IF(AND(Z$4&gt;=$D31,Z$4&lt;=$E31),"■","")</x:f>
      </x:c>
    </x:row>
    <x:row r="32" ht="34" customHeight="1">
      <x:c r="A32" s="86" t="str">
        <x:v>T28</x:v>
      </x:c>
      <x:c r="B32" s="86" t="str">
        <x:v>真实多 BRAN 验收、去重、平行阈值/距离阈值与批量标注性能收口</x:v>
      </x:c>
      <x:c r="C32" s="86" t="str">
        <x:v>前端/3D</x:v>
      </x:c>
      <x:c r="D32" s="87" t="n">
        <x:v>46233.166666666664</x:v>
      </x:c>
      <x:c r="E32" s="87" t="n">
        <x:v>46234.166666666664</x:v>
      </x:c>
      <x:c r="F32" s="86" t="str">
        <x:v>未开始</x:v>
      </x:c>
      <x:c r="G32" s="141" t="str">
        <x:f>IF(AND(G$4&gt;=$D32,G$4&lt;=$E32),"■","")</x:f>
      </x:c>
      <x:c r="H32" s="141" t="str">
        <x:f>IF(AND(H$4&gt;=$D32,H$4&lt;=$E32),"■","")</x:f>
      </x:c>
      <x:c r="I32" s="141" t="str">
        <x:f>IF(AND(I$4&gt;=$D32,I$4&lt;=$E32),"■","")</x:f>
      </x:c>
      <x:c r="J32" s="141" t="str">
        <x:f>IF(AND(J$4&gt;=$D32,J$4&lt;=$E32),"■","")</x:f>
      </x:c>
      <x:c r="K32" s="141" t="str">
        <x:f>IF(AND(K$4&gt;=$D32,K$4&lt;=$E32),"■","")</x:f>
      </x:c>
      <x:c r="L32" s="141" t="str">
        <x:f>IF(AND(L$4&gt;=$D32,L$4&lt;=$E32),"■","")</x:f>
      </x:c>
      <x:c r="M32" s="141" t="str">
        <x:f>IF(AND(M$4&gt;=$D32,M$4&lt;=$E32),"■","")</x:f>
      </x:c>
      <x:c r="N32" s="141" t="str">
        <x:f>IF(AND(N$4&gt;=$D32,N$4&lt;=$E32),"■","")</x:f>
      </x:c>
      <x:c r="O32" s="141" t="str">
        <x:f>IF(AND(O$4&gt;=$D32,O$4&lt;=$E32),"■","")</x:f>
      </x:c>
      <x:c r="P32" s="141" t="str">
        <x:f>IF(AND(P$4&gt;=$D32,P$4&lt;=$E32),"■","")</x:f>
      </x:c>
      <x:c r="Q32" s="141" t="str">
        <x:f>IF(AND(Q$4&gt;=$D32,Q$4&lt;=$E32),"■","")</x:f>
      </x:c>
      <x:c r="R32" s="141" t="str">
        <x:f>IF(AND(R$4&gt;=$D32,R$4&lt;=$E32),"■","")</x:f>
      </x:c>
      <x:c r="S32" s="141" t="str">
        <x:f>IF(AND(S$4&gt;=$D32,S$4&lt;=$E32),"■","")</x:f>
        <x:v>■</x:v>
      </x:c>
      <x:c r="T32" s="141" t="str">
        <x:f>IF(AND(T$4&gt;=$D32,T$4&lt;=$E32),"■","")</x:f>
        <x:v>■</x:v>
      </x:c>
      <x:c r="U32" s="141" t="str">
        <x:f>IF(AND(U$4&gt;=$D32,U$4&lt;=$E32),"■","")</x:f>
      </x:c>
      <x:c r="V32" s="141" t="str">
        <x:f>IF(AND(V$4&gt;=$D32,V$4&lt;=$E32),"■","")</x:f>
      </x:c>
      <x:c r="W32" s="141" t="str">
        <x:f>IF(AND(W$4&gt;=$D32,W$4&lt;=$E32),"■","")</x:f>
      </x:c>
      <x:c r="X32" s="141" t="str">
        <x:f>IF(AND(X$4&gt;=$D32,X$4&lt;=$E32),"■","")</x:f>
      </x:c>
      <x:c r="Y32" s="141" t="str">
        <x:f>IF(AND(Y$4&gt;=$D32,Y$4&lt;=$E32),"■","")</x:f>
      </x:c>
      <x:c r="Z32" s="141" t="str">
        <x:f>IF(AND(Z$4&gt;=$D32,Z$4&lt;=$E32),"■","")</x:f>
      </x:c>
    </x:row>
    <x:row r="33" ht="34" customHeight="1">
      <x:c r="A33" s="86" t="str">
        <x:v>T29</x:v>
      </x:c>
      <x:c r="B33" s="86" t="str">
        <x:v>对照 ISO 审计标高、结构/管间距、直径、长度、材质、包络字段与单位</x:v>
      </x:c>
      <x:c r="C33" s="86" t="str">
        <x:v>QA/联调</x:v>
      </x:c>
      <x:c r="D33" s="87" t="n">
        <x:v>46232.166666666664</x:v>
      </x:c>
      <x:c r="E33" s="87" t="n">
        <x:v>46234.166666666664</x:v>
      </x:c>
      <x:c r="F33" s="86" t="str">
        <x:v>未开始</x:v>
      </x:c>
      <x:c r="G33" s="141" t="str">
        <x:f>IF(AND(G$4&gt;=$D33,G$4&lt;=$E33),"■","")</x:f>
      </x:c>
      <x:c r="H33" s="141" t="str">
        <x:f>IF(AND(H$4&gt;=$D33,H$4&lt;=$E33),"■","")</x:f>
      </x:c>
      <x:c r="I33" s="141" t="str">
        <x:f>IF(AND(I$4&gt;=$D33,I$4&lt;=$E33),"■","")</x:f>
      </x:c>
      <x:c r="J33" s="141" t="str">
        <x:f>IF(AND(J$4&gt;=$D33,J$4&lt;=$E33),"■","")</x:f>
      </x:c>
      <x:c r="K33" s="141" t="str">
        <x:f>IF(AND(K$4&gt;=$D33,K$4&lt;=$E33),"■","")</x:f>
      </x:c>
      <x:c r="L33" s="141" t="str">
        <x:f>IF(AND(L$4&gt;=$D33,L$4&lt;=$E33),"■","")</x:f>
      </x:c>
      <x:c r="M33" s="141" t="str">
        <x:f>IF(AND(M$4&gt;=$D33,M$4&lt;=$E33),"■","")</x:f>
      </x:c>
      <x:c r="N33" s="141" t="str">
        <x:f>IF(AND(N$4&gt;=$D33,N$4&lt;=$E33),"■","")</x:f>
      </x:c>
      <x:c r="O33" s="141" t="str">
        <x:f>IF(AND(O$4&gt;=$D33,O$4&lt;=$E33),"■","")</x:f>
      </x:c>
      <x:c r="P33" s="141" t="str">
        <x:f>IF(AND(P$4&gt;=$D33,P$4&lt;=$E33),"■","")</x:f>
      </x:c>
      <x:c r="Q33" s="141" t="str">
        <x:f>IF(AND(Q$4&gt;=$D33,Q$4&lt;=$E33),"■","")</x:f>
      </x:c>
      <x:c r="R33" s="141" t="str">
        <x:f>IF(AND(R$4&gt;=$D33,R$4&lt;=$E33),"■","")</x:f>
        <x:v>■</x:v>
      </x:c>
      <x:c r="S33" s="141" t="str">
        <x:f>IF(AND(S$4&gt;=$D33,S$4&lt;=$E33),"■","")</x:f>
        <x:v>■</x:v>
      </x:c>
      <x:c r="T33" s="141" t="str">
        <x:f>IF(AND(T$4&gt;=$D33,T$4&lt;=$E33),"■","")</x:f>
        <x:v>■</x:v>
      </x:c>
      <x:c r="U33" s="141" t="str">
        <x:f>IF(AND(U$4&gt;=$D33,U$4&lt;=$E33),"■","")</x:f>
      </x:c>
      <x:c r="V33" s="141" t="str">
        <x:f>IF(AND(V$4&gt;=$D33,V$4&lt;=$E33),"■","")</x:f>
      </x:c>
      <x:c r="W33" s="141" t="str">
        <x:f>IF(AND(W$4&gt;=$D33,W$4&lt;=$E33),"■","")</x:f>
      </x:c>
      <x:c r="X33" s="141" t="str">
        <x:f>IF(AND(X$4&gt;=$D33,X$4&lt;=$E33),"■","")</x:f>
      </x:c>
      <x:c r="Y33" s="141" t="str">
        <x:f>IF(AND(Y$4&gt;=$D33,Y$4&lt;=$E33),"■","")</x:f>
      </x:c>
      <x:c r="Z33" s="141" t="str">
        <x:f>IF(AND(Z$4&gt;=$D33,Z$4&lt;=$E33),"■","")</x:f>
      </x:c>
    </x:row>
    <x:row r="34" ht="34" customHeight="1">
      <x:c r="A34" s="86" t="str">
        <x:v>T30</x:v>
      </x:c>
      <x:c r="B34" s="86" t="str">
        <x:v>只补字段审计确认的缺口，并复用现有 MBD V2 DTO/布局避免新体系</x:v>
      </x:c>
      <x:c r="C34" s="86" t="str">
        <x:v>前端/3D</x:v>
      </x:c>
      <x:c r="D34" s="87" t="n">
        <x:v>46237.166666666664</x:v>
      </x:c>
      <x:c r="E34" s="87" t="n">
        <x:v>46238.166666666664</x:v>
      </x:c>
      <x:c r="F34" s="86" t="str">
        <x:v>未开始</x:v>
      </x:c>
      <x:c r="G34" s="141" t="str">
        <x:f>IF(AND(G$4&gt;=$D34,G$4&lt;=$E34),"■","")</x:f>
      </x:c>
      <x:c r="H34" s="141" t="str">
        <x:f>IF(AND(H$4&gt;=$D34,H$4&lt;=$E34),"■","")</x:f>
      </x:c>
      <x:c r="I34" s="141" t="str">
        <x:f>IF(AND(I$4&gt;=$D34,I$4&lt;=$E34),"■","")</x:f>
      </x:c>
      <x:c r="J34" s="141" t="str">
        <x:f>IF(AND(J$4&gt;=$D34,J$4&lt;=$E34),"■","")</x:f>
      </x:c>
      <x:c r="K34" s="141" t="str">
        <x:f>IF(AND(K$4&gt;=$D34,K$4&lt;=$E34),"■","")</x:f>
      </x:c>
      <x:c r="L34" s="141" t="str">
        <x:f>IF(AND(L$4&gt;=$D34,L$4&lt;=$E34),"■","")</x:f>
      </x:c>
      <x:c r="M34" s="141" t="str">
        <x:f>IF(AND(M$4&gt;=$D34,M$4&lt;=$E34),"■","")</x:f>
      </x:c>
      <x:c r="N34" s="141" t="str">
        <x:f>IF(AND(N$4&gt;=$D34,N$4&lt;=$E34),"■","")</x:f>
      </x:c>
      <x:c r="O34" s="141" t="str">
        <x:f>IF(AND(O$4&gt;=$D34,O$4&lt;=$E34),"■","")</x:f>
      </x:c>
      <x:c r="P34" s="141" t="str">
        <x:f>IF(AND(P$4&gt;=$D34,P$4&lt;=$E34),"■","")</x:f>
      </x:c>
      <x:c r="Q34" s="141" t="str">
        <x:f>IF(AND(Q$4&gt;=$D34,Q$4&lt;=$E34),"■","")</x:f>
      </x:c>
      <x:c r="R34" s="141" t="str">
        <x:f>IF(AND(R$4&gt;=$D34,R$4&lt;=$E34),"■","")</x:f>
      </x:c>
      <x:c r="S34" s="141" t="str">
        <x:f>IF(AND(S$4&gt;=$D34,S$4&lt;=$E34),"■","")</x:f>
      </x:c>
      <x:c r="T34" s="141" t="str">
        <x:f>IF(AND(T$4&gt;=$D34,T$4&lt;=$E34),"■","")</x:f>
      </x:c>
      <x:c r="U34" s="141" t="str">
        <x:f>IF(AND(U$4&gt;=$D34,U$4&lt;=$E34),"■","")</x:f>
        <x:v>■</x:v>
      </x:c>
      <x:c r="V34" s="141" t="str">
        <x:f>IF(AND(V$4&gt;=$D34,V$4&lt;=$E34),"■","")</x:f>
        <x:v>■</x:v>
      </x:c>
      <x:c r="W34" s="141" t="str">
        <x:f>IF(AND(W$4&gt;=$D34,W$4&lt;=$E34),"■","")</x:f>
      </x:c>
      <x:c r="X34" s="141" t="str">
        <x:f>IF(AND(X$4&gt;=$D34,X$4&lt;=$E34),"■","")</x:f>
      </x:c>
      <x:c r="Y34" s="141" t="str">
        <x:f>IF(AND(Y$4&gt;=$D34,Y$4&lt;=$E34),"■","")</x:f>
      </x:c>
      <x:c r="Z34" s="141" t="str">
        <x:f>IF(AND(Z$4&gt;=$D34,Z$4&lt;=$E34),"■","")</x:f>
      </x:c>
    </x:row>
    <x:row r="35" ht="34" customHeight="1">
      <x:c r="A35" s="86" t="str">
        <x:v>T31</x:v>
      </x:c>
      <x:c r="B35" s="86" t="str">
        <x:v>执行全量 type-check/lint/unit、双胞胎面板、版本/空间/测量专项测试</x:v>
      </x:c>
      <x:c r="C35" s="86" t="str">
        <x:v>QA/联调</x:v>
      </x:c>
      <x:c r="D35" s="87" t="n">
        <x:v>46237.166666666664</x:v>
      </x:c>
      <x:c r="E35" s="87" t="n">
        <x:v>46238.166666666664</x:v>
      </x:c>
      <x:c r="F35" s="86" t="str">
        <x:v>未开始</x:v>
      </x:c>
      <x:c r="G35" s="135" t="str">
        <x:f>IF(AND(G$4&gt;=$D35,G$4&lt;=$E35),"■","")</x:f>
      </x:c>
      <x:c r="H35" s="135" t="str">
        <x:f>IF(AND(H$4&gt;=$D35,H$4&lt;=$E35),"■","")</x:f>
      </x:c>
      <x:c r="I35" s="135" t="str">
        <x:f>IF(AND(I$4&gt;=$D35,I$4&lt;=$E35),"■","")</x:f>
      </x:c>
      <x:c r="J35" s="135" t="str">
        <x:f>IF(AND(J$4&gt;=$D35,J$4&lt;=$E35),"■","")</x:f>
      </x:c>
      <x:c r="K35" s="135" t="str">
        <x:f>IF(AND(K$4&gt;=$D35,K$4&lt;=$E35),"■","")</x:f>
      </x:c>
      <x:c r="L35" s="135" t="str">
        <x:f>IF(AND(L$4&gt;=$D35,L$4&lt;=$E35),"■","")</x:f>
      </x:c>
      <x:c r="M35" s="135" t="str">
        <x:f>IF(AND(M$4&gt;=$D35,M$4&lt;=$E35),"■","")</x:f>
      </x:c>
      <x:c r="N35" s="135" t="str">
        <x:f>IF(AND(N$4&gt;=$D35,N$4&lt;=$E35),"■","")</x:f>
      </x:c>
      <x:c r="O35" s="135" t="str">
        <x:f>IF(AND(O$4&gt;=$D35,O$4&lt;=$E35),"■","")</x:f>
      </x:c>
      <x:c r="P35" s="135" t="str">
        <x:f>IF(AND(P$4&gt;=$D35,P$4&lt;=$E35),"■","")</x:f>
      </x:c>
      <x:c r="Q35" s="135" t="str">
        <x:f>IF(AND(Q$4&gt;=$D35,Q$4&lt;=$E35),"■","")</x:f>
      </x:c>
      <x:c r="R35" s="135" t="str">
        <x:f>IF(AND(R$4&gt;=$D35,R$4&lt;=$E35),"■","")</x:f>
      </x:c>
      <x:c r="S35" s="135" t="str">
        <x:f>IF(AND(S$4&gt;=$D35,S$4&lt;=$E35),"■","")</x:f>
      </x:c>
      <x:c r="T35" s="135" t="str">
        <x:f>IF(AND(T$4&gt;=$D35,T$4&lt;=$E35),"■","")</x:f>
      </x:c>
      <x:c r="U35" s="135" t="str">
        <x:f>IF(AND(U$4&gt;=$D35,U$4&lt;=$E35),"■","")</x:f>
        <x:v>■</x:v>
      </x:c>
      <x:c r="V35" s="135" t="str">
        <x:f>IF(AND(V$4&gt;=$D35,V$4&lt;=$E35),"■","")</x:f>
        <x:v>■</x:v>
      </x:c>
      <x:c r="W35" s="135" t="str">
        <x:f>IF(AND(W$4&gt;=$D35,W$4&lt;=$E35),"■","")</x:f>
      </x:c>
      <x:c r="X35" s="135" t="str">
        <x:f>IF(AND(X$4&gt;=$D35,X$4&lt;=$E35),"■","")</x:f>
      </x:c>
      <x:c r="Y35" s="135" t="str">
        <x:f>IF(AND(Y$4&gt;=$D35,Y$4&lt;=$E35),"■","")</x:f>
      </x:c>
      <x:c r="Z35" s="135" t="str">
        <x:f>IF(AND(Z$4&gt;=$D35,Z$4&lt;=$E35),"■","")</x:f>
      </x:c>
    </x:row>
    <x:row r="36" ht="34" customHeight="1">
      <x:c r="A36" s="86" t="str">
        <x:v>T32</x:v>
      </x:c>
      <x:c r="B36" s="86" t="str">
        <x:v>实跑 PMS extended：SJ 发起→JH 校核→SH→PZ，并核对批注/附件/测量留痕</x:v>
      </x:c>
      <x:c r="C36" s="86" t="str">
        <x:v>QA/联调</x:v>
      </x:c>
      <x:c r="D36" s="87" t="n">
        <x:v>46239.166666666664</x:v>
      </x:c>
      <x:c r="E36" s="87" t="n">
        <x:v>46239.166666666664</x:v>
      </x:c>
      <x:c r="F36" s="86" t="str">
        <x:v>未开始</x:v>
      </x:c>
      <x:c r="G36" s="135" t="str">
        <x:f>IF(AND(G$4&gt;=$D36,G$4&lt;=$E36),"■","")</x:f>
      </x:c>
      <x:c r="H36" s="135" t="str">
        <x:f>IF(AND(H$4&gt;=$D36,H$4&lt;=$E36),"■","")</x:f>
      </x:c>
      <x:c r="I36" s="135" t="str">
        <x:f>IF(AND(I$4&gt;=$D36,I$4&lt;=$E36),"■","")</x:f>
      </x:c>
      <x:c r="J36" s="135" t="str">
        <x:f>IF(AND(J$4&gt;=$D36,J$4&lt;=$E36),"■","")</x:f>
      </x:c>
      <x:c r="K36" s="135" t="str">
        <x:f>IF(AND(K$4&gt;=$D36,K$4&lt;=$E36),"■","")</x:f>
      </x:c>
      <x:c r="L36" s="135" t="str">
        <x:f>IF(AND(L$4&gt;=$D36,L$4&lt;=$E36),"■","")</x:f>
      </x:c>
      <x:c r="M36" s="135" t="str">
        <x:f>IF(AND(M$4&gt;=$D36,M$4&lt;=$E36),"■","")</x:f>
      </x:c>
      <x:c r="N36" s="135" t="str">
        <x:f>IF(AND(N$4&gt;=$D36,N$4&lt;=$E36),"■","")</x:f>
      </x:c>
      <x:c r="O36" s="135" t="str">
        <x:f>IF(AND(O$4&gt;=$D36,O$4&lt;=$E36),"■","")</x:f>
      </x:c>
      <x:c r="P36" s="135" t="str">
        <x:f>IF(AND(P$4&gt;=$D36,P$4&lt;=$E36),"■","")</x:f>
      </x:c>
      <x:c r="Q36" s="135" t="str">
        <x:f>IF(AND(Q$4&gt;=$D36,Q$4&lt;=$E36),"■","")</x:f>
      </x:c>
      <x:c r="R36" s="135" t="str">
        <x:f>IF(AND(R$4&gt;=$D36,R$4&lt;=$E36),"■","")</x:f>
      </x:c>
      <x:c r="S36" s="135" t="str">
        <x:f>IF(AND(S$4&gt;=$D36,S$4&lt;=$E36),"■","")</x:f>
      </x:c>
      <x:c r="T36" s="135" t="str">
        <x:f>IF(AND(T$4&gt;=$D36,T$4&lt;=$E36),"■","")</x:f>
      </x:c>
      <x:c r="U36" s="135" t="str">
        <x:f>IF(AND(U$4&gt;=$D36,U$4&lt;=$E36),"■","")</x:f>
      </x:c>
      <x:c r="V36" s="135" t="str">
        <x:f>IF(AND(V$4&gt;=$D36,V$4&lt;=$E36),"■","")</x:f>
      </x:c>
      <x:c r="W36" s="135" t="str">
        <x:f>IF(AND(W$4&gt;=$D36,W$4&lt;=$E36),"■","")</x:f>
        <x:v>■</x:v>
      </x:c>
      <x:c r="X36" s="135" t="str">
        <x:f>IF(AND(X$4&gt;=$D36,X$4&lt;=$E36),"■","")</x:f>
      </x:c>
      <x:c r="Y36" s="135" t="str">
        <x:f>IF(AND(Y$4&gt;=$D36,Y$4&lt;=$E36),"■","")</x:f>
      </x:c>
      <x:c r="Z36" s="135" t="str">
        <x:f>IF(AND(Z$4&gt;=$D36,Z$4&lt;=$E36),"■","")</x:f>
      </x:c>
    </x:row>
    <x:row r="37" ht="34" customHeight="1">
      <x:c r="A37" s="86" t="str">
        <x:v>T33</x:v>
      </x:c>
      <x:c r="B37" s="86" t="str">
        <x:v>按 12 项功能矩阵在真实数据上 UAT，集中修复阻断/严重缺陷</x:v>
      </x:c>
      <x:c r="C37" s="86" t="str">
        <x:v>QA/联调</x:v>
      </x:c>
      <x:c r="D37" s="87" t="n">
        <x:v>46240.166666666664</x:v>
      </x:c>
      <x:c r="E37" s="87" t="n">
        <x:v>46241.166666666664</x:v>
      </x:c>
      <x:c r="F37" s="86" t="str">
        <x:v>未开始</x:v>
      </x:c>
      <x:c r="G37" s="135" t="str">
        <x:f>IF(AND(G$4&gt;=$D37,G$4&lt;=$E37),"■","")</x:f>
      </x:c>
      <x:c r="H37" s="135" t="str">
        <x:f>IF(AND(H$4&gt;=$D37,H$4&lt;=$E37),"■","")</x:f>
      </x:c>
      <x:c r="I37" s="135" t="str">
        <x:f>IF(AND(I$4&gt;=$D37,I$4&lt;=$E37),"■","")</x:f>
      </x:c>
      <x:c r="J37" s="135" t="str">
        <x:f>IF(AND(J$4&gt;=$D37,J$4&lt;=$E37),"■","")</x:f>
      </x:c>
      <x:c r="K37" s="135" t="str">
        <x:f>IF(AND(K$4&gt;=$D37,K$4&lt;=$E37),"■","")</x:f>
      </x:c>
      <x:c r="L37" s="135" t="str">
        <x:f>IF(AND(L$4&gt;=$D37,L$4&lt;=$E37),"■","")</x:f>
      </x:c>
      <x:c r="M37" s="135" t="str">
        <x:f>IF(AND(M$4&gt;=$D37,M$4&lt;=$E37),"■","")</x:f>
      </x:c>
      <x:c r="N37" s="135" t="str">
        <x:f>IF(AND(N$4&gt;=$D37,N$4&lt;=$E37),"■","")</x:f>
      </x:c>
      <x:c r="O37" s="135" t="str">
        <x:f>IF(AND(O$4&gt;=$D37,O$4&lt;=$E37),"■","")</x:f>
      </x:c>
      <x:c r="P37" s="135" t="str">
        <x:f>IF(AND(P$4&gt;=$D37,P$4&lt;=$E37),"■","")</x:f>
      </x:c>
      <x:c r="Q37" s="135" t="str">
        <x:f>IF(AND(Q$4&gt;=$D37,Q$4&lt;=$E37),"■","")</x:f>
      </x:c>
      <x:c r="R37" s="135" t="str">
        <x:f>IF(AND(R$4&gt;=$D37,R$4&lt;=$E37),"■","")</x:f>
      </x:c>
      <x:c r="S37" s="135" t="str">
        <x:f>IF(AND(S$4&gt;=$D37,S$4&lt;=$E37),"■","")</x:f>
      </x:c>
      <x:c r="T37" s="135" t="str">
        <x:f>IF(AND(T$4&gt;=$D37,T$4&lt;=$E37),"■","")</x:f>
      </x:c>
      <x:c r="U37" s="135" t="str">
        <x:f>IF(AND(U$4&gt;=$D37,U$4&lt;=$E37),"■","")</x:f>
      </x:c>
      <x:c r="V37" s="135" t="str">
        <x:f>IF(AND(V$4&gt;=$D37,V$4&lt;=$E37),"■","")</x:f>
      </x:c>
      <x:c r="W37" s="135" t="str">
        <x:f>IF(AND(W$4&gt;=$D37,W$4&lt;=$E37),"■","")</x:f>
      </x:c>
      <x:c r="X37" s="135" t="str">
        <x:f>IF(AND(X$4&gt;=$D37,X$4&lt;=$E37),"■","")</x:f>
        <x:v>■</x:v>
      </x:c>
      <x:c r="Y37" s="135" t="str">
        <x:f>IF(AND(Y$4&gt;=$D37,Y$4&lt;=$E37),"■","")</x:f>
        <x:v>■</x:v>
      </x:c>
      <x:c r="Z37" s="135" t="str">
        <x:f>IF(AND(Z$4&gt;=$D37,Z$4&lt;=$E37),"■","")</x:f>
      </x:c>
    </x:row>
    <x:row r="38" ht="34" customHeight="1">
      <x:c r="A38" s="86" t="str">
        <x:v>T34</x:v>
      </x:c>
      <x:c r="B38" s="86" t="str">
        <x:v>版本对比、范围裁剪、批量净距、连续测量的内存/GPU/响应时间回归</x:v>
      </x:c>
      <x:c r="C38" s="86" t="str">
        <x:v>前端/3D</x:v>
      </x:c>
      <x:c r="D38" s="87" t="n">
        <x:v>46240.166666666664</x:v>
      </x:c>
      <x:c r="E38" s="87" t="n">
        <x:v>46240.166666666664</x:v>
      </x:c>
      <x:c r="F38" s="86" t="str">
        <x:v>未开始</x:v>
      </x:c>
      <x:c r="G38" s="135" t="str">
        <x:f>IF(AND(G$4&gt;=$D38,G$4&lt;=$E38),"■","")</x:f>
      </x:c>
      <x:c r="H38" s="135" t="str">
        <x:f>IF(AND(H$4&gt;=$D38,H$4&lt;=$E38),"■","")</x:f>
      </x:c>
      <x:c r="I38" s="135" t="str">
        <x:f>IF(AND(I$4&gt;=$D38,I$4&lt;=$E38),"■","")</x:f>
      </x:c>
      <x:c r="J38" s="135" t="str">
        <x:f>IF(AND(J$4&gt;=$D38,J$4&lt;=$E38),"■","")</x:f>
      </x:c>
      <x:c r="K38" s="135" t="str">
        <x:f>IF(AND(K$4&gt;=$D38,K$4&lt;=$E38),"■","")</x:f>
      </x:c>
      <x:c r="L38" s="135" t="str">
        <x:f>IF(AND(L$4&gt;=$D38,L$4&lt;=$E38),"■","")</x:f>
      </x:c>
      <x:c r="M38" s="135" t="str">
        <x:f>IF(AND(M$4&gt;=$D38,M$4&lt;=$E38),"■","")</x:f>
      </x:c>
      <x:c r="N38" s="135" t="str">
        <x:f>IF(AND(N$4&gt;=$D38,N$4&lt;=$E38),"■","")</x:f>
      </x:c>
      <x:c r="O38" s="135" t="str">
        <x:f>IF(AND(O$4&gt;=$D38,O$4&lt;=$E38),"■","")</x:f>
      </x:c>
      <x:c r="P38" s="135" t="str">
        <x:f>IF(AND(P$4&gt;=$D38,P$4&lt;=$E38),"■","")</x:f>
      </x:c>
      <x:c r="Q38" s="135" t="str">
        <x:f>IF(AND(Q$4&gt;=$D38,Q$4&lt;=$E38),"■","")</x:f>
      </x:c>
      <x:c r="R38" s="135" t="str">
        <x:f>IF(AND(R$4&gt;=$D38,R$4&lt;=$E38),"■","")</x:f>
      </x:c>
      <x:c r="S38" s="135" t="str">
        <x:f>IF(AND(S$4&gt;=$D38,S$4&lt;=$E38),"■","")</x:f>
      </x:c>
      <x:c r="T38" s="135" t="str">
        <x:f>IF(AND(T$4&gt;=$D38,T$4&lt;=$E38),"■","")</x:f>
      </x:c>
      <x:c r="U38" s="135" t="str">
        <x:f>IF(AND(U$4&gt;=$D38,U$4&lt;=$E38),"■","")</x:f>
      </x:c>
      <x:c r="V38" s="135" t="str">
        <x:f>IF(AND(V$4&gt;=$D38,V$4&lt;=$E38),"■","")</x:f>
      </x:c>
      <x:c r="W38" s="135" t="str">
        <x:f>IF(AND(W$4&gt;=$D38,W$4&lt;=$E38),"■","")</x:f>
      </x:c>
      <x:c r="X38" s="135" t="str">
        <x:f>IF(AND(X$4&gt;=$D38,X$4&lt;=$E38),"■","")</x:f>
        <x:v>■</x:v>
      </x:c>
      <x:c r="Y38" s="135" t="str">
        <x:f>IF(AND(Y$4&gt;=$D38,Y$4&lt;=$E38),"■","")</x:f>
      </x:c>
      <x:c r="Z38" s="135" t="str">
        <x:f>IF(AND(Z$4&gt;=$D38,Z$4&lt;=$E38),"■","")</x:f>
      </x:c>
    </x:row>
    <x:row r="39" ht="34" customHeight="1">
      <x:c r="A39" s="86" t="str">
        <x:v>T35</x:v>
      </x:c>
      <x:c r="B39" s="86" t="str">
        <x:v>更新操作文档、发布说明、配置清单、迁移与回滚步骤</x:v>
      </x:c>
      <x:c r="C39" s="86" t="str">
        <x:v>产品/架构</x:v>
      </x:c>
      <x:c r="D39" s="87" t="n">
        <x:v>46241.166666666664</x:v>
      </x:c>
      <x:c r="E39" s="87" t="n">
        <x:v>46241.166666666664</x:v>
      </x:c>
      <x:c r="F39" s="86" t="str">
        <x:v>未开始</x:v>
      </x:c>
      <x:c r="G39" s="135" t="str">
        <x:f>IF(AND(G$4&gt;=$D39,G$4&lt;=$E39),"■","")</x:f>
      </x:c>
      <x:c r="H39" s="135" t="str">
        <x:f>IF(AND(H$4&gt;=$D39,H$4&lt;=$E39),"■","")</x:f>
      </x:c>
      <x:c r="I39" s="135" t="str">
        <x:f>IF(AND(I$4&gt;=$D39,I$4&lt;=$E39),"■","")</x:f>
      </x:c>
      <x:c r="J39" s="135" t="str">
        <x:f>IF(AND(J$4&gt;=$D39,J$4&lt;=$E39),"■","")</x:f>
      </x:c>
      <x:c r="K39" s="135" t="str">
        <x:f>IF(AND(K$4&gt;=$D39,K$4&lt;=$E39),"■","")</x:f>
      </x:c>
      <x:c r="L39" s="135" t="str">
        <x:f>IF(AND(L$4&gt;=$D39,L$4&lt;=$E39),"■","")</x:f>
      </x:c>
      <x:c r="M39" s="135" t="str">
        <x:f>IF(AND(M$4&gt;=$D39,M$4&lt;=$E39),"■","")</x:f>
      </x:c>
      <x:c r="N39" s="135" t="str">
        <x:f>IF(AND(N$4&gt;=$D39,N$4&lt;=$E39),"■","")</x:f>
      </x:c>
      <x:c r="O39" s="135" t="str">
        <x:f>IF(AND(O$4&gt;=$D39,O$4&lt;=$E39),"■","")</x:f>
      </x:c>
      <x:c r="P39" s="135" t="str">
        <x:f>IF(AND(P$4&gt;=$D39,P$4&lt;=$E39),"■","")</x:f>
      </x:c>
      <x:c r="Q39" s="135" t="str">
        <x:f>IF(AND(Q$4&gt;=$D39,Q$4&lt;=$E39),"■","")</x:f>
      </x:c>
      <x:c r="R39" s="135" t="str">
        <x:f>IF(AND(R$4&gt;=$D39,R$4&lt;=$E39),"■","")</x:f>
      </x:c>
      <x:c r="S39" s="135" t="str">
        <x:f>IF(AND(S$4&gt;=$D39,S$4&lt;=$E39),"■","")</x:f>
      </x:c>
      <x:c r="T39" s="135" t="str">
        <x:f>IF(AND(T$4&gt;=$D39,T$4&lt;=$E39),"■","")</x:f>
      </x:c>
      <x:c r="U39" s="135" t="str">
        <x:f>IF(AND(U$4&gt;=$D39,U$4&lt;=$E39),"■","")</x:f>
      </x:c>
      <x:c r="V39" s="135" t="str">
        <x:f>IF(AND(V$4&gt;=$D39,V$4&lt;=$E39),"■","")</x:f>
      </x:c>
      <x:c r="W39" s="135" t="str">
        <x:f>IF(AND(W$4&gt;=$D39,W$4&lt;=$E39),"■","")</x:f>
      </x:c>
      <x:c r="X39" s="135" t="str">
        <x:f>IF(AND(X$4&gt;=$D39,X$4&lt;=$E39),"■","")</x:f>
      </x:c>
      <x:c r="Y39" s="135" t="str">
        <x:f>IF(AND(Y$4&gt;=$D39,Y$4&lt;=$E39),"■","")</x:f>
        <x:v>■</x:v>
      </x:c>
      <x:c r="Z39" s="135" t="str">
        <x:f>IF(AND(Z$4&gt;=$D39,Z$4&lt;=$E39),"■","")</x:f>
      </x:c>
    </x:row>
    <x:row r="40" ht="34" customHeight="1">
      <x:c r="A40" s="86" t="str">
        <x:v>T36</x:v>
      </x:c>
      <x:c r="B40" s="86" t="str">
        <x:v>最终验收会、版本标记、部署与上线后冒烟</x:v>
      </x:c>
      <x:c r="C40" s="86" t="str">
        <x:v>项目组</x:v>
      </x:c>
      <x:c r="D40" s="87" t="n">
        <x:v>46244.166666666664</x:v>
      </x:c>
      <x:c r="E40" s="87" t="n">
        <x:v>46244.166666666664</x:v>
      </x:c>
      <x:c r="F40" s="86" t="str">
        <x:v>未开始</x:v>
      </x:c>
      <x:c r="G40" s="135" t="str">
        <x:f>IF(AND(G$4&gt;=$D40,G$4&lt;=$E40),"■","")</x:f>
      </x:c>
      <x:c r="H40" s="135" t="str">
        <x:f>IF(AND(H$4&gt;=$D40,H$4&lt;=$E40),"■","")</x:f>
      </x:c>
      <x:c r="I40" s="135" t="str">
        <x:f>IF(AND(I$4&gt;=$D40,I$4&lt;=$E40),"■","")</x:f>
      </x:c>
      <x:c r="J40" s="135" t="str">
        <x:f>IF(AND(J$4&gt;=$D40,J$4&lt;=$E40),"■","")</x:f>
      </x:c>
      <x:c r="K40" s="135" t="str">
        <x:f>IF(AND(K$4&gt;=$D40,K$4&lt;=$E40),"■","")</x:f>
      </x:c>
      <x:c r="L40" s="135" t="str">
        <x:f>IF(AND(L$4&gt;=$D40,L$4&lt;=$E40),"■","")</x:f>
      </x:c>
      <x:c r="M40" s="135" t="str">
        <x:f>IF(AND(M$4&gt;=$D40,M$4&lt;=$E40),"■","")</x:f>
      </x:c>
      <x:c r="N40" s="135" t="str">
        <x:f>IF(AND(N$4&gt;=$D40,N$4&lt;=$E40),"■","")</x:f>
      </x:c>
      <x:c r="O40" s="135" t="str">
        <x:f>IF(AND(O$4&gt;=$D40,O$4&lt;=$E40),"■","")</x:f>
      </x:c>
      <x:c r="P40" s="135" t="str">
        <x:f>IF(AND(P$4&gt;=$D40,P$4&lt;=$E40),"■","")</x:f>
      </x:c>
      <x:c r="Q40" s="135" t="str">
        <x:f>IF(AND(Q$4&gt;=$D40,Q$4&lt;=$E40),"■","")</x:f>
      </x:c>
      <x:c r="R40" s="135" t="str">
        <x:f>IF(AND(R$4&gt;=$D40,R$4&lt;=$E40),"■","")</x:f>
      </x:c>
      <x:c r="S40" s="135" t="str">
        <x:f>IF(AND(S$4&gt;=$D40,S$4&lt;=$E40),"■","")</x:f>
      </x:c>
      <x:c r="T40" s="135" t="str">
        <x:f>IF(AND(T$4&gt;=$D40,T$4&lt;=$E40),"■","")</x:f>
      </x:c>
      <x:c r="U40" s="135" t="str">
        <x:f>IF(AND(U$4&gt;=$D40,U$4&lt;=$E40),"■","")</x:f>
      </x:c>
      <x:c r="V40" s="135" t="str">
        <x:f>IF(AND(V$4&gt;=$D40,V$4&lt;=$E40),"■","")</x:f>
      </x:c>
      <x:c r="W40" s="135" t="str">
        <x:f>IF(AND(W$4&gt;=$D40,W$4&lt;=$E40),"■","")</x:f>
      </x:c>
      <x:c r="X40" s="135" t="str">
        <x:f>IF(AND(X$4&gt;=$D40,X$4&lt;=$E40),"■","")</x:f>
      </x:c>
      <x:c r="Y40" s="135" t="str">
        <x:f>IF(AND(Y$4&gt;=$D40,Y$4&lt;=$E40),"■","")</x:f>
      </x:c>
      <x:c r="Z40" s="135" t="str">
        <x:f>IF(AND(Z$4&gt;=$D40,Z$4&lt;=$E40),"■","")</x:f>
        <x:v>■</x:v>
      </x:c>
    </x:row>
  </x:sheetData>
  <x:mergeCells>
    <x:mergeCell ref="A1:Z1"/>
    <x:mergeCell ref="A2:Z2"/>
  </x:mergeCells>
  <x:dataValidations count="1">
    <x:dataValidation type="list" sqref="F5:F40">
      <x:formula1>"未开始,进行中,已完成,阻塞"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0" hidden="0" customWidth="1"/>
    <x:col min="4" max="4" width="10" hidden="0" customWidth="1"/>
    <x:col min="5" max="5" width="44" hidden="0" customWidth="1"/>
    <x:col min="6" max="6" width="14" hidden="0" customWidth="1"/>
    <x:col min="7" max="7" width="18" hidden="0" customWidth="1"/>
  </x:cols>
  <x:sheetData>
    <x:row r="1" ht="32" customHeight="1">
      <x:c r="A1" s="73" t="str">
        <x:v>风险、验收与验证命令</x:v>
      </x:c>
      <x:c r="B1" s="73" t="str">
        <x:v>风险、验收与验证命令</x:v>
      </x:c>
      <x:c r="C1" s="73" t="str">
        <x:v>风险、验收与验证命令</x:v>
      </x:c>
      <x:c r="D1" s="73" t="str">
        <x:v>风险、验收与验证命令</x:v>
      </x:c>
      <x:c r="E1" s="73" t="str">
        <x:v>风险、验收与验证命令</x:v>
      </x:c>
      <x:c r="F1" s="73" t="str">
        <x:v>风险、验收与验证命令</x:v>
      </x:c>
      <x:c r="G1" s="73" t="str">
        <x:v>风险、验收与验证命令</x:v>
      </x:c>
    </x:row>
    <x:row r="2" ht="28" customHeight="1">
      <x:c r="A2" s="74" t="str">
        <x:v>所有验收记录需包含命令、输入数据、返回结果与截图/日志路径；不得在公开材料中写入 PMS 密码。</x:v>
      </x:c>
      <x:c r="B2" s="74" t="str">
        <x:v>所有验收记录需包含命令、输入数据、返回结果与截图/日志路径；不得在公开材料中写入 PMS 密码。</x:v>
      </x:c>
      <x:c r="C2" s="74" t="str">
        <x:v>所有验收记录需包含命令、输入数据、返回结果与截图/日志路径；不得在公开材料中写入 PMS 密码。</x:v>
      </x:c>
      <x:c r="D2" s="74" t="str">
        <x:v>所有验收记录需包含命令、输入数据、返回结果与截图/日志路径；不得在公开材料中写入 PMS 密码。</x:v>
      </x:c>
      <x:c r="E2" s="74" t="str">
        <x:v>所有验收记录需包含命令、输入数据、返回结果与截图/日志路径；不得在公开材料中写入 PMS 密码。</x:v>
      </x:c>
      <x:c r="F2" s="74" t="str">
        <x:v>所有验收记录需包含命令、输入数据、返回结果与截图/日志路径；不得在公开材料中写入 PMS 密码。</x:v>
      </x:c>
      <x:c r="G2" s="74" t="str">
        <x:v>所有验收记录需包含命令、输入数据、返回结果与截图/日志路径；不得在公开材料中写入 PMS 密码。</x:v>
      </x:c>
    </x:row>
    <x:row r="3">
      <x:c r="A3" s="75"/>
      <x:c r="B3" s="75"/>
      <x:c r="C3" s="75"/>
      <x:c r="D3" s="75"/>
      <x:c r="E3" s="75"/>
      <x:c r="F3" s="75"/>
      <x:c r="G3" s="75"/>
    </x:row>
    <x:row r="4" ht="28" customHeight="1">
      <x:c r="A4" s="83" t="str">
        <x:v>风险ID</x:v>
      </x:c>
      <x:c r="B4" s="83" t="str">
        <x:v>风险</x:v>
      </x:c>
      <x:c r="C4" s="83" t="str">
        <x:v>影响</x:v>
      </x:c>
      <x:c r="D4" s="83" t="str">
        <x:v>概率</x:v>
      </x:c>
      <x:c r="E4" s="83" t="str">
        <x:v>应对</x:v>
      </x:c>
      <x:c r="F4" s="83" t="str">
        <x:v>责任</x:v>
      </x:c>
      <x:c r="G4" s="83" t="str">
        <x:v>关联任务</x:v>
      </x:c>
    </x:row>
    <x:row r="5" ht="48" customHeight="1">
      <x:c r="A5" s="84" t="str">
        <x:v>R1</x:v>
      </x:c>
      <x:c r="B5" s="84" t="str">
        <x:v>当前两仓工作树大量未提交/删除/新增，存在成果丢失或互相覆盖风险</x:v>
      </x:c>
      <x:c r="C5" s="84" t="str">
        <x:v>高</x:v>
      </x:c>
      <x:c r="D5" s="84" t="str">
        <x:v>高</x:v>
      </x:c>
      <x:c r="E5" s="84" t="str">
        <x:v>7/14 前完成归属盘点与集成边界；禁止 reset/checkout 覆盖用户改动</x:v>
      </x:c>
      <x:c r="F5" s="84" t="str">
        <x:v>产品/架构</x:v>
      </x:c>
      <x:c r="G5" s="84" t="str">
        <x:v>T01</x:v>
      </x:c>
    </x:row>
    <x:row r="6" ht="48" customHeight="1">
      <x:c r="A6" s="86" t="str">
        <x:v>R2</x:v>
      </x:c>
      <x:c r="B6" s="86" t="str">
        <x:v>AMS DB1112 样例版本不一致：增量 demo 为 896→897，版本面板默认 791→897</x:v>
      </x:c>
      <x:c r="C6" s="86" t="str">
        <x:v>高</x:v>
      </x:c>
      <x:c r="D6" s="86" t="str">
        <x:v>高</x:v>
      </x:c>
      <x:c r="E6" s="86" t="str">
        <x:v>统一一个权威 release 对；前后端、文档、E2E 只引用该对</x:v>
      </x:c>
      <x:c r="F6" s="86" t="str">
        <x:v>后端/Rust</x:v>
      </x:c>
      <x:c r="G6" s="86" t="str">
        <x:v>T02</x:v>
      </x:c>
    </x:row>
    <x:row r="7" ht="48" customHeight="1">
      <x:c r="A7" s="86" t="str">
        <x:v>R3</x:v>
      </x:c>
      <x:c r="B7" s="86" t="str">
        <x:v>release 可能是 patch_only/quarantined_visual，误当生产完整版本会产生错误结论</x:v>
      </x:c>
      <x:c r="C7" s="86" t="str">
        <x:v>高</x:v>
      </x:c>
      <x:c r="D7" s="86" t="str">
        <x:v>中</x:v>
      </x:c>
      <x:c r="E7" s="86" t="str">
        <x:v>readiness/quality 门禁必须可见；不生产就明确标记诊断</x:v>
      </x:c>
      <x:c r="F7" s="86" t="str">
        <x:v>后端/Rust</x:v>
      </x:c>
      <x:c r="G7" s="86" t="str">
        <x:v>T10,T13</x:v>
      </x:c>
    </x:row>
    <x:row r="8" ht="48" customHeight="1">
      <x:c r="A8" s="86" t="str">
        <x:v>R4</x:v>
      </x:c>
      <x:c r="B8" s="86" t="str">
        <x:v>PE/ATT history 按现 Spec 022 只提供 CLI，8/10 前不提供 HTTP</x:v>
      </x:c>
      <x:c r="C8" s="86" t="str">
        <x:v>中</x:v>
      </x:c>
      <x:c r="D8" s="86" t="str">
        <x:v>中</x:v>
      </x:c>
      <x:c r="E8" s="86" t="str">
        <x:v>版本 UI 继续使用 DuckLake release diff；历史 CLI 用于审计，不扩张 API 范围</x:v>
      </x:c>
      <x:c r="F8" s="86" t="str">
        <x:v>产品/架构</x:v>
      </x:c>
      <x:c r="G8" s="86" t="str">
        <x:v>T06,T07</x:v>
      </x:c>
    </x:row>
    <x:row r="9" ht="48" customHeight="1">
      <x:c r="A9" s="86" t="str">
        <x:v>R5</x:v>
      </x:c>
      <x:c r="B9" s="86" t="str">
        <x:v>管道-结构当前为 AABB 粗筛，复杂几何最近点可能偏差</x:v>
      </x:c>
      <x:c r="C9" s="86" t="str">
        <x:v>高</x:v>
      </x:c>
      <x:c r="D9" s="86" t="str">
        <x:v>中</x:v>
      </x:c>
      <x:c r="E9" s="86" t="str">
        <x:v>粗筛后做窄相位精算；明确相交/包络/单位策略并用已知几何校准</x:v>
      </x:c>
      <x:c r="F9" s="86" t="str">
        <x:v>后端/Rust</x:v>
      </x:c>
      <x:c r="G9" s="86" t="str">
        <x:v>T27</x:v>
      </x:c>
    </x:row>
    <x:row r="10" ht="48" customHeight="1">
      <x:c r="A10" s="86" t="str">
        <x:v>R6</x:v>
      </x:c>
      <x:c r="B10" s="86" t="str">
        <x:v>范围管道裁剪可能影响 DTX 拾取、材质复用与性能</x:v>
      </x:c>
      <x:c r="C10" s="86" t="str">
        <x:v>中</x:v>
      </x:c>
      <x:c r="D10" s="86" t="str">
        <x:v>中</x:v>
      </x:c>
      <x:c r="E10" s="86" t="str">
        <x:v>限定球/盒两种裁剪；保留一键恢复；300 构件性能门槛</x:v>
      </x:c>
      <x:c r="F10" s="86" t="str">
        <x:v>前端/3D</x:v>
      </x:c>
      <x:c r="G10" s="86" t="str">
        <x:v>T23,T24</x:v>
      </x:c>
    </x:row>
    <x:row r="11" ht="48" customHeight="1">
      <x:c r="A11" s="86" t="str">
        <x:v>R7</x:v>
      </x:c>
      <x:c r="B11" s="86" t="str">
        <x:v>DOCX/PDF 预览可能遇到超大文件、恶意内容或不兼容格式</x:v>
      </x:c>
      <x:c r="C11" s="86" t="str">
        <x:v>中</x:v>
      </x:c>
      <x:c r="D11" s="86" t="str">
        <x:v>中</x:v>
      </x:c>
      <x:c r="E11" s="86" t="str">
        <x:v>使用已安装库、限制大小/类型、禁脚本，失败回退下载</x:v>
      </x:c>
      <x:c r="F11" s="86" t="str">
        <x:v>校审前端</x:v>
      </x:c>
      <x:c r="G11" s="86" t="str">
        <x:v>T20</x:v>
      </x:c>
    </x:row>
    <x:row r="12" ht="48" customHeight="1">
      <x:c r="A12" s="86" t="str">
        <x:v>R8</x:v>
      </x:c>
      <x:c r="B12" s="86" t="str">
        <x:v>PMS 联调环境和角色数据不稳定可能压缩验收窗口</x:v>
      </x:c>
      <x:c r="C12" s="86" t="str">
        <x:v>高</x:v>
      </x:c>
      <x:c r="D12" s="86" t="str">
        <x:v>中</x:v>
      </x:c>
      <x:c r="E12" s="86" t="str">
        <x:v>7/15 固化 BRAN/单据样例；保留本地模拟器与真实 PMS 两条验证链</x:v>
      </x:c>
      <x:c r="F12" s="86" t="str">
        <x:v>QA/联调</x:v>
      </x:c>
      <x:c r="G12" s="86" t="str">
        <x:v>T03,T32</x:v>
      </x:c>
    </x:row>
    <x:row r="13" ht="48" customHeight="1">
      <x:c r="A13" s="86" t="str">
        <x:v>R9</x:v>
      </x:c>
      <x:c r="B13" s="86" t="str">
        <x:v>versioned RocksDB 是建库属性，存量目录直接开启会失败或引发数据风险</x:v>
      </x:c>
      <x:c r="C13" s="86" t="str">
        <x:v>高</x:v>
      </x:c>
      <x:c r="D13" s="86" t="str">
        <x:v>中</x:v>
      </x:c>
      <x:c r="E13" s="86" t="str">
        <x:v>只走新目录重灌、抽样比对、切流与可回滚流程</x:v>
      </x:c>
      <x:c r="F13" s="86" t="str">
        <x:v>后端/Rust</x:v>
      </x:c>
      <x:c r="G13" s="86" t="str">
        <x:v>T08</x:v>
      </x:c>
    </x:row>
    <x:row r="14" ht="48" customHeight="1">
      <x:c r="A14" s="86" t="str">
        <x:v>R10</x:v>
      </x:c>
      <x:c r="B14" s="86" t="str">
        <x:v>团队资源不足会同时卡住版本底座、DTX 与测量三条关键路径</x:v>
      </x:c>
      <x:c r="C14" s="86" t="str">
        <x:v>高</x:v>
      </x:c>
      <x:c r="D14" s="86" t="str">
        <x:v>中</x:v>
      </x:c>
      <x:c r="E14" s="86" t="str">
        <x:v>按 2 后端 + 2 前端/3D + 1 校审前端 + 1 QA 配置；缺员时先砍非阻断美化</x:v>
      </x:c>
      <x:c r="F14" s="86" t="str">
        <x:v>产品/架构</x:v>
      </x:c>
      <x:c r="G14" s="86" t="str">
        <x:v>资源负载</x:v>
      </x:c>
    </x:row>
    <x:row r="15">
      <x:c r="A15" s="75"/>
      <x:c r="B15" s="75"/>
      <x:c r="C15" s="75"/>
      <x:c r="D15" s="75"/>
      <x:c r="E15" s="75"/>
      <x:c r="F15" s="75"/>
      <x:c r="G15" s="75"/>
    </x:row>
    <x:row r="16">
      <x:c r="A16" s="75"/>
      <x:c r="B16" s="75"/>
      <x:c r="C16" s="75"/>
      <x:c r="D16" s="75"/>
      <x:c r="E16" s="75"/>
      <x:c r="F16" s="75"/>
      <x:c r="G16" s="75"/>
    </x:row>
    <x:row r="17" ht="28" customHeight="1">
      <x:c r="A17" s="83" t="str">
        <x:v>验收ID</x:v>
      </x:c>
      <x:c r="B17" s="83" t="str">
        <x:v>功能</x:v>
      </x:c>
      <x:c r="C17" s="83" t="str">
        <x:v>操作/输入</x:v>
      </x:c>
      <x:c r="D17" s="83" t="str">
        <x:v>操作/输入</x:v>
      </x:c>
      <x:c r="E17" s="83" t="str">
        <x:v>通过标准</x:v>
      </x:c>
      <x:c r="F17" s="83" t="str">
        <x:v>通过标准</x:v>
      </x:c>
      <x:c r="G17" s="83" t="str">
        <x:v>证据</x:v>
      </x:c>
    </x:row>
    <x:row r="18" ht="56" customHeight="1">
      <x:c r="A18" s="84" t="str">
        <x:v>U01</x:v>
      </x:c>
      <x:c r="B18" s="84" t="str">
        <x:v>云线绑定 + 自动截图</x:v>
      </x:c>
      <x:c r="C18" s="84" t="str">
        <x:v>JH 在 BRAN 24381_145018 选择构件并绘制云线</x:v>
      </x:c>
      <x:c r="D18" s="84" t="str">
        <x:v>JH 在 BRAN 24381_145018 选择构件并绘制云线</x:v>
      </x:c>
      <x:c r="E18" s="84" t="str">
        <x:v>批注含 refnos；退出绘制即生成截图；刷新/跨角色仍可见</x:v>
      </x:c>
      <x:c r="F18" s="84" t="str">
        <x:v>批注含 refnos；退出绘制即生成截图；刷新/跨角色仍可见</x:v>
      </x:c>
      <x:c r="G18" s="84" t="str">
        <x:v>截图 + API/快照</x:v>
      </x:c>
    </x:row>
    <x:row r="19" ht="56" customHeight="1">
      <x:c r="A19" s="86" t="str">
        <x:v>U02</x:v>
      </x:c>
      <x:c r="B19" s="86" t="str">
        <x:v>指定距离模型</x:v>
      </x:c>
      <x:c r="C19" s="86" t="str">
        <x:v>选中构件，执行 5m/10m 范围隔离</x:v>
      </x:c>
      <x:c r="D19" s="86" t="str">
        <x:v>选中构件，执行 5m/10m 范围隔离</x:v>
      </x:c>
      <x:c r="E19" s="86" t="str">
        <x:v>范围内显示、范围外隐藏；跨边界管道被裁剪；恢复完整</x:v>
      </x:c>
      <x:c r="F19" s="86" t="str">
        <x:v>范围内显示、范围外隐藏；跨边界管道被裁剪；恢复完整</x:v>
      </x:c>
      <x:c r="G19" s="86" t="str">
        <x:v>前后截图 + refno 列表</x:v>
      </x:c>
    </x:row>
    <x:row r="20" ht="56" customHeight="1">
      <x:c r="A20" s="86" t="str">
        <x:v>U03</x:v>
      </x:c>
      <x:c r="B20" s="86" t="str">
        <x:v>多版本对照</x:v>
      </x:c>
      <x:c r="C20" s="86" t="str">
        <x:v>选择权威 DB1112 from/to release 并点选 changed/added/deleted</x:v>
      </x:c>
      <x:c r="D20" s="86" t="str">
        <x:v>选择权威 DB1112 from/to release 并点选 changed/added/deleted</x:v>
      </x:c>
      <x:c r="E20" s="86" t="str">
        <x:v>真实 DTX 两侧正确；缺侧是预期状态；来源/质量可见</x:v>
      </x:c>
      <x:c r="F20" s="86" t="str">
        <x:v>真实 DTX 两侧正确；缺侧是预期状态；来源/质量可见</x:v>
      </x:c>
      <x:c r="G20" s="86" t="str">
        <x:v>E2E + diff JSON</x:v>
      </x:c>
    </x:row>
    <x:row r="21" ht="56" customHeight="1">
      <x:c r="A21" s="86" t="str">
        <x:v>U04</x:v>
      </x:c>
      <x:c r="B21" s="86" t="str">
        <x:v>E3D 高亮</x:v>
      </x:c>
      <x:c r="C21" s="86" t="str">
        <x:v>从模型树、批注、版本差异依次选择同一 refno</x:v>
      </x:c>
      <x:c r="D21" s="86" t="str">
        <x:v>从模型树、批注、版本差异依次选择同一 refno</x:v>
      </x:c>
      <x:c r="E21" s="86" t="str">
        <x:v>高亮、定位、清除行为一致</x:v>
      </x:c>
      <x:c r="F21" s="86" t="str">
        <x:v>高亮、定位、清除行为一致</x:v>
      </x:c>
      <x:c r="G21" s="86" t="str">
        <x:v>录屏/截图</x:v>
      </x:c>
    </x:row>
    <x:row r="22" ht="56" customHeight="1">
      <x:c r="A22" s="86" t="str">
        <x:v>U05</x:v>
      </x:c>
      <x:c r="B22" s="86" t="str">
        <x:v>PDF/WORD 展示</x:v>
      </x:c>
      <x:c r="C22" s="86" t="str">
        <x:v>打开与构件关联的 PDF 和 DOCX</x:v>
      </x:c>
      <x:c r="D22" s="86" t="str">
        <x:v>打开与构件关联的 PDF 和 DOCX</x:v>
      </x:c>
      <x:c r="E22" s="86" t="str">
        <x:v>内容可读；不执行脚本；异常文件可安全下载</x:v>
      </x:c>
      <x:c r="F22" s="86" t="str">
        <x:v>内容可读；不执行脚本；异常文件可安全下载</x:v>
      </x:c>
      <x:c r="G22" s="86" t="str">
        <x:v>预览截图</x:v>
      </x:c>
    </x:row>
    <x:row r="23" ht="56" customHeight="1">
      <x:c r="A23" s="86" t="str">
        <x:v>U06</x:v>
      </x:c>
      <x:c r="B23" s="86" t="str">
        <x:v>关键点与关键点测量</x:v>
      </x:c>
      <x:c r="C23" s="86" t="str">
        <x:v>P-Point/Item 原点完成距离、角度、标高</x:v>
      </x:c>
      <x:c r="D23" s="86" t="str">
        <x:v>P-Point/Item 原点完成距离、角度、标高</x:v>
      </x:c>
      <x:c r="E23" s="86" t="str">
        <x:v>来源提示准确；World 坐标稳定；测量记录可管理</x:v>
      </x:c>
      <x:c r="F23" s="86" t="str">
        <x:v>来源提示准确；World 坐标稳定；测量记录可管理</x:v>
      </x:c>
      <x:c r="G23" s="86" t="str">
        <x:v>测量结果 JSON/截图</x:v>
      </x:c>
    </x:row>
    <x:row r="24" ht="56" customHeight="1">
      <x:c r="A24" s="86" t="str">
        <x:v>U07</x:v>
      </x:c>
      <x:c r="B24" s="86" t="str">
        <x:v>元素最近距离</x:v>
      </x:c>
      <x:c r="C24" s="86" t="str">
        <x:v>选择两个已知基准构件</x:v>
      </x:c>
      <x:c r="D24" s="86" t="str">
        <x:v>选择两个已知基准构件</x:v>
      </x:c>
      <x:c r="E24" s="86" t="str">
        <x:v>最近点与距离在误差阈值内，单位一致</x:v>
      </x:c>
      <x:c r="F24" s="86" t="str">
        <x:v>最近点与距离在误差阈值内，单位一致</x:v>
      </x:c>
      <x:c r="G24" s="86" t="str">
        <x:v>基准对照表</x:v>
      </x:c>
    </x:row>
    <x:row r="25" ht="56" customHeight="1">
      <x:c r="A25" s="86" t="str">
        <x:v>U08</x:v>
      </x:c>
      <x:c r="B25" s="86" t="str">
        <x:v>管道-结构净距</x:v>
      </x:c>
      <x:c r="C25" s="86" t="str">
        <x:v>BRAN 分别对梁/板/柱/墙执行自动测量</x:v>
      </x:c>
      <x:c r="D25" s="86" t="str">
        <x:v>BRAN 分别对梁/板/柱/墙执行自动测量</x:v>
      </x:c>
      <x:c r="E25" s="86" t="str">
        <x:v>四类均返回真实最近点、净距和 refno</x:v>
      </x:c>
      <x:c r="F25" s="86" t="str">
        <x:v>四类均返回真实最近点、净距和 refno</x:v>
      </x:c>
      <x:c r="G25" s="86" t="str">
        <x:v>API JSON + 三维截图</x:v>
      </x:c>
    </x:row>
    <x:row r="26" ht="56" customHeight="1">
      <x:c r="A26" s="86" t="str">
        <x:v>U09</x:v>
      </x:c>
      <x:c r="B26" s="86" t="str">
        <x:v>管道-管道净距</x:v>
      </x:c>
      <x:c r="C26" s="86" t="str">
        <x:v>加载多 BRAN 并执行批量检测</x:v>
      </x:c>
      <x:c r="D26" s="86" t="str">
        <x:v>加载多 BRAN 并执行批量检测</x:v>
      </x:c>
      <x:c r="E26" s="86" t="str">
        <x:v>无重复标注；阈值可配；可定位/隐藏</x:v>
      </x:c>
      <x:c r="F26" s="86" t="str">
        <x:v>无重复标注；阈值可配；可定位/隐藏</x:v>
      </x:c>
      <x:c r="G26" s="86" t="str">
        <x:v>结果清单 + 性能</x:v>
      </x:c>
    </x:row>
    <x:row r="27" ht="56" customHeight="1">
      <x:c r="A27" s="86" t="str">
        <x:v>U10</x:v>
      </x:c>
      <x:c r="B27" s="86" t="str">
        <x:v>管道标注</x:v>
      </x:c>
      <x:c r="C27" s="86" t="str">
        <x:v>对 BRAN 24381_145018 与 ISO 图逐字段核对</x:v>
      </x:c>
      <x:c r="D27" s="86" t="str">
        <x:v>对 BRAN 24381_145018 与 ISO 图逐字段核对</x:v>
      </x:c>
      <x:c r="E27" s="86" t="str">
        <x:v>标高、距离、直径、长度、材质、包络一致且布局可读</x:v>
      </x:c>
      <x:c r="F27" s="86" t="str">
        <x:v>标高、距离、直径、长度、材质、包络一致且布局可读</x:v>
      </x:c>
      <x:c r="G27" s="86" t="str">
        <x:v>ISO 对照表</x:v>
      </x:c>
    </x:row>
    <x:row r="28" ht="56" customHeight="1">
      <x:c r="A28" s="86" t="str">
        <x:v>U11</x:v>
      </x:c>
      <x:c r="B28" s="86" t="str">
        <x:v>PMS 全流程</x:v>
      </x:c>
      <x:c r="C28" s="86" t="str">
        <x:v>SJ→JH→SH→PZ，含批注、附件、测量与驳回/重新进入</x:v>
      </x:c>
      <x:c r="D28" s="86" t="str">
        <x:v>SJ→JH→SH→PZ，含批注、附件、测量与驳回/重新进入</x:v>
      </x:c>
      <x:c r="E28" s="86" t="str">
        <x:v>状态流转、留痕、只读终态与重开均正确</x:v>
      </x:c>
      <x:c r="F28" s="86" t="str">
        <x:v>状态流转、留痕、只读终态与重开均正确</x:v>
      </x:c>
      <x:c r="G28" s="86" t="str">
        <x:v>CDP/E2E 日志</x:v>
      </x:c>
    </x:row>
    <x:row r="29">
      <x:c r="A29" s="75"/>
      <x:c r="B29" s="75"/>
      <x:c r="C29" s="75"/>
      <x:c r="D29" s="75"/>
      <x:c r="E29" s="75"/>
      <x:c r="F29" s="75"/>
      <x:c r="G29" s="75"/>
    </x:row>
    <x:row r="30">
      <x:c r="A30" s="75"/>
      <x:c r="B30" s="75"/>
      <x:c r="C30" s="75"/>
      <x:c r="D30" s="75"/>
      <x:c r="E30" s="75"/>
      <x:c r="F30" s="75"/>
      <x:c r="G30" s="75"/>
    </x:row>
    <x:row r="31">
      <x:c r="A31" s="143" t="str">
        <x:v>建议验证命令</x:v>
      </x:c>
      <x:c r="B31" s="143" t="str">
        <x:v>建议验证命令</x:v>
      </x:c>
      <x:c r="C31" s="143" t="str">
        <x:v>建议验证命令</x:v>
      </x:c>
      <x:c r="D31" s="143" t="str">
        <x:v>建议验证命令</x:v>
      </x:c>
      <x:c r="E31" s="143" t="str">
        <x:v>建议验证命令</x:v>
      </x:c>
      <x:c r="F31" s="143" t="str">
        <x:v>建议验证命令</x:v>
      </x:c>
      <x:c r="G31" s="143" t="str">
        <x:v>建议验证命令</x:v>
      </x:c>
    </x:row>
    <x:row r="32" ht="44" customHeight="1">
      <x:c r="A32" s="84" t="str">
        <x:v>前端基础</x:v>
      </x:c>
      <x:c r="B32" s="84" t="str">
        <x:v>npm run type-check；npm run lint；npm test</x:v>
      </x:c>
      <x:c r="C32" s="84" t="str">
        <x:v>npm run type-check；npm run lint；npm test</x:v>
      </x:c>
      <x:c r="D32" s="84" t="str">
        <x:v>npm run type-check；npm run lint；npm test</x:v>
      </x:c>
      <x:c r="E32" s="84" t="str">
        <x:v>npm run type-check；npm run lint；npm test</x:v>
      </x:c>
      <x:c r="F32" s="84" t="str">
        <x:v>npm run type-check；npm run lint；npm test</x:v>
      </x:c>
      <x:c r="G32" s="84" t="str">
        <x:v>npm run type-check；npm run lint；npm test</x:v>
      </x:c>
    </x:row>
    <x:row r="33" ht="44" customHeight="1">
      <x:c r="A33" s="86" t="str">
        <x:v>双胞胎面板</x:v>
      </x:c>
      <x:c r="B33" s="86" t="str">
        <x:v>npx vitest run src/components/review/ReviewPanel.test.ts src/components/review/DesignerCommentHandlingPanel.test.ts src/components/review/AnnotationTableView.test.ts src/components/review/reviewerWorkbenchViewModeBus.test.ts</x:v>
      </x:c>
      <x:c r="C33" s="86" t="str">
        <x:v>npx vitest run src/components/review/ReviewPanel.test.ts src/components/review/DesignerCommentHandlingPanel.test.ts src/components/review/AnnotationTableView.test.ts src/components/review/reviewerWorkbenchViewModeBus.test.ts</x:v>
      </x:c>
      <x:c r="D33" s="86" t="str">
        <x:v>npx vitest run src/components/review/ReviewPanel.test.ts src/components/review/DesignerCommentHandlingPanel.test.ts src/components/review/AnnotationTableView.test.ts src/components/review/reviewerWorkbenchViewModeBus.test.ts</x:v>
      </x:c>
      <x:c r="E33" s="86" t="str">
        <x:v>npx vitest run src/components/review/ReviewPanel.test.ts src/components/review/DesignerCommentHandlingPanel.test.ts src/components/review/AnnotationTableView.test.ts src/components/review/reviewerWorkbenchViewModeBus.test.ts</x:v>
      </x:c>
      <x:c r="F33" s="86" t="str">
        <x:v>npx vitest run src/components/review/ReviewPanel.test.ts src/components/review/DesignerCommentHandlingPanel.test.ts src/components/review/AnnotationTableView.test.ts src/components/review/reviewerWorkbenchViewModeBus.test.ts</x:v>
      </x:c>
      <x:c r="G33" s="86" t="str">
        <x:v>npx vitest run src/components/review/ReviewPanel.test.ts src/components/review/DesignerCommentHandlingPanel.test.ts src/components/review/AnnotationTableView.test.ts src/components/review/reviewerWorkbenchViewModeBus.test.ts</x:v>
      </x:c>
    </x:row>
    <x:row r="34" ht="44" customHeight="1">
      <x:c r="A34" s="86" t="str">
        <x:v>版本对比</x:v>
      </x:c>
      <x:c r="B34" s="86" t="str">
        <x:v>npx vitest run src/components/model-version/ModelVersionComparePanel.test.ts；npx playwright test e2e/model-version-compare-zone.spec.ts</x:v>
      </x:c>
      <x:c r="C34" s="86" t="str">
        <x:v>npx vitest run src/components/model-version/ModelVersionComparePanel.test.ts；npx playwright test e2e/model-version-compare-zone.spec.ts</x:v>
      </x:c>
      <x:c r="D34" s="86" t="str">
        <x:v>npx vitest run src/components/model-version/ModelVersionComparePanel.test.ts；npx playwright test e2e/model-version-compare-zone.spec.ts</x:v>
      </x:c>
      <x:c r="E34" s="86" t="str">
        <x:v>npx vitest run src/components/model-version/ModelVersionComparePanel.test.ts；npx playwright test e2e/model-version-compare-zone.spec.ts</x:v>
      </x:c>
      <x:c r="F34" s="86" t="str">
        <x:v>npx vitest run src/components/model-version/ModelVersionComparePanel.test.ts；npx playwright test e2e/model-version-compare-zone.spec.ts</x:v>
      </x:c>
      <x:c r="G34" s="86" t="str">
        <x:v>npx vitest run src/components/model-version/ModelVersionComparePanel.test.ts；npx playwright test e2e/model-version-compare-zone.spec.ts</x:v>
      </x:c>
    </x:row>
    <x:row r="35" ht="44" customHeight="1">
      <x:c r="A35" s="86" t="str">
        <x:v>测量/净距</x:v>
      </x:c>
      <x:c r="B35" s="86" t="str">
        <x:v>npx vitest run src/composables/useXeokitMeasurementTools.test.ts src/composables/useDtxTools.objectMeasure.test.ts src/utils/three/geometry/clearance/detectPipeClearances.test.ts</x:v>
      </x:c>
      <x:c r="C35" s="86" t="str">
        <x:v>npx vitest run src/composables/useXeokitMeasurementTools.test.ts src/composables/useDtxTools.objectMeasure.test.ts src/utils/three/geometry/clearance/detectPipeClearances.test.ts</x:v>
      </x:c>
      <x:c r="D35" s="86" t="str">
        <x:v>npx vitest run src/composables/useXeokitMeasurementTools.test.ts src/composables/useDtxTools.objectMeasure.test.ts src/utils/three/geometry/clearance/detectPipeClearances.test.ts</x:v>
      </x:c>
      <x:c r="E35" s="86" t="str">
        <x:v>npx vitest run src/composables/useXeokitMeasurementTools.test.ts src/composables/useDtxTools.objectMeasure.test.ts src/utils/three/geometry/clearance/detectPipeClearances.test.ts</x:v>
      </x:c>
      <x:c r="F35" s="86" t="str">
        <x:v>npx vitest run src/composables/useXeokitMeasurementTools.test.ts src/composables/useDtxTools.objectMeasure.test.ts src/utils/three/geometry/clearance/detectPipeClearances.test.ts</x:v>
      </x:c>
      <x:c r="G35" s="86" t="str">
        <x:v>npx vitest run src/composables/useXeokitMeasurementTools.test.ts src/composables/useDtxTools.objectMeasure.test.ts src/utils/three/geometry/clearance/detectPipeClearances.test.ts</x:v>
      </x:c>
    </x:row>
    <x:row r="36" ht="44" customHeight="1">
      <x:c r="A36" s="86" t="str">
        <x:v>后端构建</x:v>
      </x:c>
      <x:c r="B36" s="86" t="str">
        <x:v>cargo check --features web_server,model-version-ducklake --bin web_server</x:v>
      </x:c>
      <x:c r="C36" s="86" t="str">
        <x:v>cargo check --features web_server,model-version-ducklake --bin web_server</x:v>
      </x:c>
      <x:c r="D36" s="86" t="str">
        <x:v>cargo check --features web_server,model-version-ducklake --bin web_server</x:v>
      </x:c>
      <x:c r="E36" s="86" t="str">
        <x:v>cargo check --features web_server,model-version-ducklake --bin web_server</x:v>
      </x:c>
      <x:c r="F36" s="86" t="str">
        <x:v>cargo check --features web_server,model-version-ducklake --bin web_server</x:v>
      </x:c>
      <x:c r="G36" s="86" t="str">
        <x:v>cargo check --features web_server,model-version-ducklake --bin web_server</x:v>
      </x:c>
    </x:row>
    <x:row r="37" ht="44" customHeight="1">
      <x:c r="A37" s="86" t="str">
        <x:v>PE/ATT 历史</x:v>
      </x:c>
      <x:c r="B37" s="86" t="str">
        <x:v>aios-database model-version history snapshot/timeline/diff --json；并与 verify_versioned_pe_att.surql 对照</x:v>
      </x:c>
      <x:c r="C37" s="86" t="str">
        <x:v>aios-database model-version history snapshot/timeline/diff --json；并与 verify_versioned_pe_att.surql 对照</x:v>
      </x:c>
      <x:c r="D37" s="86" t="str">
        <x:v>aios-database model-version history snapshot/timeline/diff --json；并与 verify_versioned_pe_att.surql 对照</x:v>
      </x:c>
      <x:c r="E37" s="86" t="str">
        <x:v>aios-database model-version history snapshot/timeline/diff --json；并与 verify_versioned_pe_att.surql 对照</x:v>
      </x:c>
      <x:c r="F37" s="86" t="str">
        <x:v>aios-database model-version history snapshot/timeline/diff --json；并与 verify_versioned_pe_att.surql 对照</x:v>
      </x:c>
      <x:c r="G37" s="86" t="str">
        <x:v>aios-database model-version history snapshot/timeline/diff --json；并与 verify_versioned_pe_att.surql 对照</x:v>
      </x:c>
    </x:row>
    <x:row r="38" ht="44" customHeight="1">
      <x:c r="A38" s="86" t="str">
        <x:v>PMS 端到端</x:v>
      </x:c>
      <x:c r="B38" s="86" t="str">
        <x:v>设置本机 PMS_E2E_PASSWORD 后运行 npm run test:pms:cdp:extended；报告中不记录密码</x:v>
      </x:c>
      <x:c r="C38" s="86" t="str">
        <x:v>设置本机 PMS_E2E_PASSWORD 后运行 npm run test:pms:cdp:extended；报告中不记录密码</x:v>
      </x:c>
      <x:c r="D38" s="86" t="str">
        <x:v>设置本机 PMS_E2E_PASSWORD 后运行 npm run test:pms:cdp:extended；报告中不记录密码</x:v>
      </x:c>
      <x:c r="E38" s="86" t="str">
        <x:v>设置本机 PMS_E2E_PASSWORD 后运行 npm run test:pms:cdp:extended；报告中不记录密码</x:v>
      </x:c>
      <x:c r="F38" s="86" t="str">
        <x:v>设置本机 PMS_E2E_PASSWORD 后运行 npm run test:pms:cdp:extended；报告中不记录密码</x:v>
      </x:c>
      <x:c r="G38" s="86" t="str">
        <x:v>设置本机 PMS_E2E_PASSWORD 后运行 npm run test:pms:cdp:extended；报告中不记录密码</x:v>
      </x:c>
    </x:row>
  </x:sheetData>
  <x:mergeCells>
    <x:mergeCell ref="A1:G1"/>
    <x:mergeCell ref="A2:G2"/>
    <x:mergeCell ref="C17:D17"/>
    <x:mergeCell ref="E17:F17"/>
    <x:mergeCell ref="C18:D18"/>
    <x:mergeCell ref="E18:F18"/>
    <x:mergeCell ref="C19:D19"/>
    <x:mergeCell ref="E19:F19"/>
    <x:mergeCell ref="C20:D20"/>
    <x:mergeCell ref="E20:F20"/>
    <x:mergeCell ref="C21:D21"/>
    <x:mergeCell ref="E21:F21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C26:D26"/>
    <x:mergeCell ref="E26:F26"/>
    <x:mergeCell ref="C27:D27"/>
    <x:mergeCell ref="E27:F27"/>
    <x:mergeCell ref="C28:D28"/>
    <x:mergeCell ref="E28:F28"/>
    <x:mergeCell ref="A31:G31"/>
    <x:mergeCell ref="B32:G32"/>
    <x:mergeCell ref="B33:G33"/>
    <x:mergeCell ref="B34:G34"/>
    <x:mergeCell ref="B35:G35"/>
    <x:mergeCell ref="B36:G36"/>
    <x:mergeCell ref="B37:G37"/>
    <x:mergeCell ref="B38:G38"/>
  </x:mergeCells>
  <x:conditionalFormatting sqref="C5:D14">
    <x:cfRule type="containsText" dxfId="8" priority="1" operator="containsText" text="高"/>
    <x:cfRule type="containsText" dxfId="9" priority="2" operator="containsText" text="中"/>
  </x:conditionalFormatting>
  <x:dataValidations count="1">
    <x:dataValidation type="list" sqref="C5:D14">
      <x:formula1>"高,中,低"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  <x:col min="6" max="6" width="12" hidden="0" customWidth="1"/>
    <x:col min="7" max="7" width="42" hidden="0" customWidth="1"/>
    <x:col min="8" max="8" width="28" hidden="0" customWidth="1"/>
  </x:cols>
  <x:sheetData>
    <x:row r="1" ht="32" customHeight="1">
      <x:c r="A1" s="73" t="str">
        <x:v>资源负载与容量假设</x:v>
      </x:c>
      <x:c r="B1" s="73" t="str">
        <x:v>资源负载与容量假设</x:v>
      </x:c>
      <x:c r="C1" s="73" t="str">
        <x:v>资源负载与容量假设</x:v>
      </x:c>
      <x:c r="D1" s="73" t="str">
        <x:v>资源负载与容量假设</x:v>
      </x:c>
      <x:c r="E1" s="73" t="str">
        <x:v>资源负载与容量假设</x:v>
      </x:c>
      <x:c r="F1" s="73" t="str">
        <x:v>资源负载与容量假设</x:v>
      </x:c>
      <x:c r="G1" s="73" t="str">
        <x:v>资源负载与容量假设</x:v>
      </x:c>
      <x:c r="H1" s="73" t="str">
        <x:v>资源负载与容量假设</x:v>
      </x:c>
    </x:row>
    <x:row r="2" ht="28" customHeight="1">
      <x:c r="A2" s="74" t="str">
        <x:v>人日按开发排期“主责”汇总；协作评审未单独重复计入。</x:v>
      </x:c>
      <x:c r="B2" s="74" t="str">
        <x:v>人日按开发排期“主责”汇总；协作评审未单独重复计入。</x:v>
      </x:c>
      <x:c r="C2" s="74" t="str">
        <x:v>人日按开发排期“主责”汇总；协作评审未单独重复计入。</x:v>
      </x:c>
      <x:c r="D2" s="74" t="str">
        <x:v>人日按开发排期“主责”汇总；协作评审未单独重复计入。</x:v>
      </x:c>
      <x:c r="E2" s="74" t="str">
        <x:v>人日按开发排期“主责”汇总；协作评审未单独重复计入。</x:v>
      </x:c>
      <x:c r="F2" s="74" t="str">
        <x:v>人日按开发排期“主责”汇总；协作评审未单独重复计入。</x:v>
      </x:c>
      <x:c r="G2" s="74" t="str">
        <x:v>人日按开发排期“主责”汇总；协作评审未单独重复计入。</x:v>
      </x:c>
      <x:c r="H2" s="74" t="str">
        <x:v>人日按开发排期“主责”汇总；协作评审未单独重复计入。</x:v>
      </x:c>
    </x:row>
    <x:row r="3">
      <x:c r="A3" s="75"/>
      <x:c r="B3" s="75"/>
      <x:c r="C3" s="75"/>
      <x:c r="D3" s="75"/>
      <x:c r="E3" s="75"/>
      <x:c r="F3" s="75"/>
      <x:c r="G3" s="75"/>
      <x:c r="H3" s="75"/>
    </x:row>
    <x:row r="4" ht="28" customHeight="1">
      <x:c r="A4" s="83" t="str">
        <x:v>角色</x:v>
      </x:c>
      <x:c r="B4" s="83" t="str">
        <x:v>人数/FTE</x:v>
      </x:c>
      <x:c r="C4" s="83" t="str">
        <x:v>可用工作日</x:v>
      </x:c>
      <x:c r="D4" s="83" t="str">
        <x:v>理论容量人日</x:v>
      </x:c>
      <x:c r="E4" s="83" t="str">
        <x:v>计划人日</x:v>
      </x:c>
      <x:c r="F4" s="83" t="str">
        <x:v>利用率</x:v>
      </x:c>
      <x:c r="G4" s="83" t="str">
        <x:v>主要负责</x:v>
      </x:c>
      <x:c r="H4" s="83" t="str">
        <x:v>备注</x:v>
      </x:c>
    </x:row>
    <x:row r="5" ht="44" customHeight="1">
      <x:c r="A5" s="84" t="str">
        <x:v>后端/Rust</x:v>
      </x:c>
      <x:c r="B5" s="105" t="n">
        <x:v>2</x:v>
      </x:c>
      <x:c r="C5" s="105" t="n">
        <x:v>20</x:v>
      </x:c>
      <x:c r="D5" s="105" t="n">
        <x:f>B5*C5</x:f>
        <x:v>40</x:v>
      </x:c>
      <x:c r="E5" s="105" t="n">
        <x:f>SUMIF('开发排期'!$G$5:$G$40,A5,'开发排期'!$K$5:$K$40)</x:f>
        <x:v>22</x:v>
      </x:c>
      <x:c r="F5" s="101" t="n">
        <x:f>IF(D5=0,0,E5/D5)</x:f>
        <x:v>0.55</x:v>
      </x:c>
      <x:c r="G5" s="84" t="str">
        <x:v>增量、版本存储、release API、管道-结构精算</x:v>
      </x:c>
      <x:c r="H5" s="84" t="str">
        <x:v>关键路径</x:v>
      </x:c>
    </x:row>
    <x:row r="6" ht="44" customHeight="1">
      <x:c r="A6" s="86" t="str">
        <x:v>前端/3D</x:v>
      </x:c>
      <x:c r="B6" s="106" t="n">
        <x:v>2</x:v>
      </x:c>
      <x:c r="C6" s="106" t="n">
        <x:v>20</x:v>
      </x:c>
      <x:c r="D6" s="106" t="n">
        <x:f>B6*C6</x:f>
        <x:v>40</x:v>
      </x:c>
      <x:c r="E6" s="106" t="n">
        <x:f>SUMIF('开发排期'!$G$5:$G$40,A6,'开发排期'!$K$5:$K$40)</x:f>
        <x:v>25</x:v>
      </x:c>
      <x:c r="F6" s="102" t="n">
        <x:f>IF(D6=0,0,E6/D6)</x:f>
        <x:v>0.625</x:v>
      </x:c>
      <x:c r="G6" s="86" t="str">
        <x:v>DTX 版本对比、空间裁剪、测量与管道标注</x:v>
      </x:c>
      <x:c r="H6" s="86" t="str">
        <x:v>关键路径</x:v>
      </x:c>
    </x:row>
    <x:row r="7" ht="44" customHeight="1">
      <x:c r="A7" s="86" t="str">
        <x:v>校审前端</x:v>
      </x:c>
      <x:c r="B7" s="106" t="n">
        <x:v>1</x:v>
      </x:c>
      <x:c r="C7" s="106" t="n">
        <x:v>20</x:v>
      </x:c>
      <x:c r="D7" s="106" t="n">
        <x:f>B7*C7</x:f>
        <x:v>20</x:v>
      </x:c>
      <x:c r="E7" s="106" t="n">
        <x:f>SUMIF('开发排期'!$G$5:$G$40,A7,'开发排期'!$K$5:$K$40)</x:f>
        <x:v>6</x:v>
      </x:c>
      <x:c r="F7" s="102" t="n">
        <x:f>IF(D7=0,0,E7/D7)</x:f>
        <x:v>0.3</x:v>
      </x:c>
      <x:c r="G7" s="86" t="str">
        <x:v>批注自动截图、关联文件预览</x:v>
      </x:c>
      <x:c r="H7" s="86" t="str">
        <x:v>可与前端/3D 互备</x:v>
      </x:c>
    </x:row>
    <x:row r="8" ht="44" customHeight="1">
      <x:c r="A8" s="86" t="str">
        <x:v>QA/联调</x:v>
      </x:c>
      <x:c r="B8" s="106" t="n">
        <x:v>1</x:v>
      </x:c>
      <x:c r="C8" s="106" t="n">
        <x:v>20</x:v>
      </x:c>
      <x:c r="D8" s="106" t="n">
        <x:f>B8*C8</x:f>
        <x:v>20</x:v>
      </x:c>
      <x:c r="E8" s="106" t="n">
        <x:f>SUMIF('开发排期'!$G$5:$G$40,A8,'开发排期'!$K$5:$K$40)</x:f>
        <x:v>16</x:v>
      </x:c>
      <x:c r="F8" s="102" t="n">
        <x:f>IF(D8=0,0,E8/D8)</x:f>
        <x:v>0.8</x:v>
      </x:c>
      <x:c r="G8" s="86" t="str">
        <x:v>baseline、真实数据、PMS、UAT、回归</x:v>
      </x:c>
      <x:c r="H8" s="86" t="str">
        <x:v>8/3 后全量投入</x:v>
      </x:c>
    </x:row>
    <x:row r="9" ht="44" customHeight="1">
      <x:c r="A9" s="86" t="str">
        <x:v>产品/架构</x:v>
      </x:c>
      <x:c r="B9" s="106" t="n">
        <x:v>0.5</x:v>
      </x:c>
      <x:c r="C9" s="106" t="n">
        <x:v>20</x:v>
      </x:c>
      <x:c r="D9" s="106" t="n">
        <x:f>B9*C9</x:f>
        <x:v>10</x:v>
      </x:c>
      <x:c r="E9" s="106" t="n">
        <x:f>SUMIF('开发排期'!$G$5:$G$40,A9,'开发排期'!$K$5:$K$40)</x:f>
        <x:v>2</x:v>
      </x:c>
      <x:c r="F9" s="102" t="n">
        <x:f>IF(D9=0,0,E9/D9)</x:f>
        <x:v>0.2</x:v>
      </x:c>
      <x:c r="G9" s="86" t="str">
        <x:v>范围、集成边界、发布/回滚</x:v>
      </x:c>
      <x:c r="H9" s="86" t="str">
        <x:v>兼职</x:v>
      </x:c>
    </x:row>
    <x:row r="10" ht="44" customHeight="1">
      <x:c r="A10" s="86" t="str">
        <x:v>项目组</x:v>
      </x:c>
      <x:c r="B10" s="106" t="n">
        <x:v>1</x:v>
      </x:c>
      <x:c r="C10" s="106" t="n">
        <x:v>1</x:v>
      </x:c>
      <x:c r="D10" s="106" t="n">
        <x:f>B10*C10</x:f>
        <x:v>1</x:v>
      </x:c>
      <x:c r="E10" s="106" t="n">
        <x:f>SUMIF('开发排期'!$G$5:$G$40,A10,'开发排期'!$K$5:$K$40)</x:f>
        <x:v>1</x:v>
      </x:c>
      <x:c r="F10" s="102" t="n">
        <x:f>IF(D10=0,0,E10/D10)</x:f>
        <x:v>1</x:v>
      </x:c>
      <x:c r="G10" s="86" t="str">
        <x:v>最终发布</x:v>
      </x:c>
      <x:c r="H10" s="86" t="str">
        <x:v>仅统计发布日</x:v>
      </x:c>
    </x:row>
    <x:row r="11">
      <x:c r="A11" s="75"/>
      <x:c r="B11" s="75"/>
      <x:c r="C11" s="75"/>
      <x:c r="D11" s="75"/>
      <x:c r="E11" s="75"/>
      <x:c r="F11" s="75"/>
      <x:c r="G11" s="75"/>
      <x:c r="H11" s="75"/>
    </x:row>
    <x:row r="12">
      <x:c r="A12" s="75"/>
      <x:c r="B12" s="75"/>
      <x:c r="C12" s="75"/>
      <x:c r="D12" s="75"/>
      <x:c r="E12" s="75"/>
      <x:c r="F12" s="75"/>
      <x:c r="G12" s="75"/>
      <x:c r="H12" s="75"/>
    </x:row>
    <x:row r="13">
      <x:c r="A13" s="150" t="str">
        <x:v>降级原则：若资源少于上述配置，只延后 P1 的视觉美化/性能优化；不得削减版本质量门禁、数据迁移安全、附件安全、PMS 回归和关键测量正确性。</x:v>
      </x:c>
      <x:c r="B13" s="151" t="str">
        <x:v>降级原则：若资源少于上述配置，只延后 P1 的视觉美化/性能优化；不得削减版本质量门禁、数据迁移安全、附件安全、PMS 回归和关键测量正确性。</x:v>
      </x:c>
      <x:c r="C13" s="151" t="str">
        <x:v>降级原则：若资源少于上述配置，只延后 P1 的视觉美化/性能优化；不得削减版本质量门禁、数据迁移安全、附件安全、PMS 回归和关键测量正确性。</x:v>
      </x:c>
      <x:c r="D13" s="151" t="str">
        <x:v>降级原则：若资源少于上述配置，只延后 P1 的视觉美化/性能优化；不得削减版本质量门禁、数据迁移安全、附件安全、PMS 回归和关键测量正确性。</x:v>
      </x:c>
      <x:c r="E13" s="151" t="str">
        <x:v>降级原则：若资源少于上述配置，只延后 P1 的视觉美化/性能优化；不得削减版本质量门禁、数据迁移安全、附件安全、PMS 回归和关键测量正确性。</x:v>
      </x:c>
      <x:c r="F13" s="151" t="str">
        <x:v>降级原则：若资源少于上述配置，只延后 P1 的视觉美化/性能优化；不得削减版本质量门禁、数据迁移安全、附件安全、PMS 回归和关键测量正确性。</x:v>
      </x:c>
      <x:c r="G13" s="151" t="str">
        <x:v>降级原则：若资源少于上述配置，只延后 P1 的视觉美化/性能优化；不得削减版本质量门禁、数据迁移安全、附件安全、PMS 回归和关键测量正确性。</x:v>
      </x:c>
      <x:c r="H13" s="152" t="str">
        <x:v>降级原则：若资源少于上述配置，只延后 P1 的视觉美化/性能优化；不得削减版本质量门禁、数据迁移安全、附件安全、PMS 回归和关键测量正确性。</x:v>
      </x:c>
    </x:row>
  </x:sheetData>
  <x:mergeCells>
    <x:mergeCell ref="A1:H1"/>
    <x:mergeCell ref="A2:H2"/>
    <x:mergeCell ref="A13:H13"/>
  </x:mergeCells>
  <x:conditionalFormatting sqref="F5:F10">
    <x:cfRule type="dataBar" priority="1">
      <x:dataBar>
        <x:cfvo type="min"/>
        <x:cfvo type="max"/>
        <x:color rgb="FF70AD47"/>
      </x:dataBar>
      <x:extLst>
        <x:ext xmlns:x14="http://schemas.microsoft.com/office/spreadsheetml/2009/9/main" uri="{B025F937-C7B1-47D3-B67F-A62EFF666E3E}">
          <x14:id>{E89419CD-DF16-563D-5FA1-7AFE62E20FB1}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89419CD-DF16-563D-5FA1-7AFE62E20FB1}">
            <x14:dataBar gradient="1">
              <x14:cfvo type="min"/>
              <x14:cfvo type="max"/>
              <x14:fillColor rgb="FF70AD47"/>
            </x14:dataBar>
          </x14:cfRule>
          <xm:sqref>F5:F10</xm:sqref>
        </x14:conditionalFormatting>
      </x14:conditionalFormattings>
    </x:ext>
  </x:extLst>
</x:worksheet>
</file>