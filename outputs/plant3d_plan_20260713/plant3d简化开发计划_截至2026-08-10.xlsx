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448ed4f63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发任务" sheetId="1" r:id="Re87ed8c091ea4866"/>
    <x:sheet xmlns:r="http://schemas.openxmlformats.org/officeDocument/2006/relationships" name="周计划" sheetId="2" r:id="R3cb1b04a5be3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m/d"/>
  </x:numFmts>
  <x:fonts count="9">
    <x:font>
      <x:sz val="11"/>
      <x:name val="Carlito"/>
    </x:font>
    <x:font>
      <x:b/>
      <x:sz val="18"/>
      <x:color rgb="FFFFFFFF"/>
      <x:name val="Microsoft YaHei"/>
    </x:font>
    <x:font>
      <x:sz val="10"/>
      <x:color rgb="FF666666"/>
      <x:name val="Microsoft YaHei"/>
    </x:font>
    <x:font>
      <x:b/>
      <x:sz val="11"/>
      <x:color rgb="FFFFFFFF"/>
      <x:name val="Microsoft YaHei"/>
    </x:font>
    <x:font>
      <x:sz val="10"/>
      <x:color rgb="FF1F2937"/>
      <x:name val="Microsoft YaHei"/>
    </x:font>
    <x:font>
      <x:b/>
      <x:sz val="11"/>
      <x:color rgb="FF7F6000"/>
      <x:name val="Microsoft YaHei"/>
    </x:font>
    <x:font>
      <x:b/>
      <x:sz val="11"/>
      <x:color rgb="FF17365D"/>
      <x:name val="Carlito"/>
    </x:font>
    <x:font>
      <x:sz val="11"/>
      <x:name val="Microsoft YaHei"/>
    </x:font>
    <x:font>
      <x:b/>
      <x:sz val="11"/>
      <x:color rgb="FF17365D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bottom style="thin">
        <x:color rgb="FFE7EAF0"/>
      </x:bottom>
    </x:border>
    <x:border>
      <x:top style="thin">
        <x:color rgb="FFE7EAF0"/>
      </x:top>
      <x:bottom style="thin">
        <x:color rgb="FFE7EAF0"/>
      </x:bottom>
    </x:border>
    <x:border>
      <x:left style="medium">
        <x:color rgb="FFFFC000"/>
      </x:left>
      <x:top style="medium">
        <x:color rgb="FFFFC000"/>
      </x:top>
      <x:bottom style="medium">
        <x:color rgb="FFFFC000"/>
      </x:bottom>
    </x:border>
    <x:border>
      <x:top style="medium">
        <x:color rgb="FFFFC000"/>
      </x:top>
      <x:bottom style="medium">
        <x:color rgb="FFFFC000"/>
      </x:bottom>
    </x:border>
    <x:border>
      <x:right style="medium">
        <x:color rgb="FFFFC000"/>
      </x:right>
      <x:top style="medium">
        <x:color rgb="FFFFC000"/>
      </x:top>
      <x:bottom style="medium">
        <x:color rgb="FFFFC000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6538bcaa54a89" /><Relationship Type="http://schemas.openxmlformats.org/officeDocument/2006/relationships/theme" Target="/xl/theme/theme1.xml" Id="Ra46421adccca4543" /><Relationship Type="http://schemas.openxmlformats.org/officeDocument/2006/relationships/sharedStrings" Target="/xl/sharedStrings.xml" Id="Ra8e1def821a14dff" /><Relationship Type="http://schemas.openxmlformats.org/officeDocument/2006/relationships/worksheet" Target="/xl/worksheets/sheet1.xml" Id="Re87ed8c091ea4866" /><Relationship Type="http://schemas.openxmlformats.org/officeDocument/2006/relationships/worksheet" Target="/xl/worksheets/sheet2.xml" Id="R3cb1b04a5be341da" /></Relationships>
</file>

<file path=xl/tables/table1.xml><?xml version="1.0" encoding="utf-8"?>
<x:table xmlns:x="http://schemas.openxmlformats.org/spreadsheetml/2006/main" id="1" name="SimpleDevelopmentTasks" displayName="SimpleDevelopmentTasks" ref="A4:L20" headerRowCount="1" totalsRowCount="0" totalsRowShown="0">
  <x:tableColumns count="12">
    <x:tableColumn id="1" name="编号"/>
    <x:tableColumn id="2" name="开发任务"/>
    <x:tableColumn id="3" name="主要内容"/>
    <x:tableColumn id="4" name="责任人"/>
    <x:tableColumn id="5" name="开始日期"/>
    <x:tableColumn id="6" name="结束日期"/>
    <x:tableColumn id="7" name="工期"/>
    <x:tableColumn id="8" name="优先级"/>
    <x:tableColumn id="9" name="前置任务"/>
    <x:tableColumn id="10" name="交付结果"/>
    <x:tableColumn id="11" name="验收标准"/>
    <x:tableColumn id="12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3c80ff9fe244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46" hidden="0" customWidth="1"/>
    <x:col min="4" max="4" width="14" hidden="0" customWidth="1"/>
    <x:col min="5" max="5" width="12" hidden="0" customWidth="1"/>
    <x:col min="6" max="6" width="12" hidden="0" customWidth="1"/>
    <x:col min="7" max="7" width="8" hidden="0" customWidth="1"/>
    <x:col min="8" max="8" width="9" hidden="0" customWidth="1"/>
    <x:col min="9" max="9" width="16" hidden="0" customWidth="1"/>
    <x:col min="10" max="10" width="30" hidden="0" customWidth="1"/>
    <x:col min="11" max="11" width="38" hidden="0" customWidth="1"/>
    <x:col min="12" max="12" width="11" hidden="0" customWidth="1"/>
  </x:cols>
  <x:sheetData>
    <x:row r="1" ht="34" customHeight="1">
      <x:c r="A1" s="3" t="str">
        <x:v>Plant3D 三维校审简化开发计划</x:v>
      </x:c>
      <x:c r="B1" s="3" t="str">
        <x:v>Plant3D 三维校审简化开发计划</x:v>
      </x:c>
      <x:c r="C1" s="3" t="str">
        <x:v>Plant3D 三维校审简化开发计划</x:v>
      </x:c>
      <x:c r="D1" s="3" t="str">
        <x:v>Plant3D 三维校审简化开发计划</x:v>
      </x:c>
      <x:c r="E1" s="3" t="str">
        <x:v>Plant3D 三维校审简化开发计划</x:v>
      </x:c>
      <x:c r="F1" s="3" t="str">
        <x:v>Plant3D 三维校审简化开发计划</x:v>
      </x:c>
      <x:c r="G1" s="3" t="str">
        <x:v>Plant3D 三维校审简化开发计划</x:v>
      </x:c>
      <x:c r="H1" s="3" t="str">
        <x:v>Plant3D 三维校审简化开发计划</x:v>
      </x:c>
      <x:c r="I1" s="3" t="str">
        <x:v>Plant3D 三维校审简化开发计划</x:v>
      </x:c>
      <x:c r="J1" s="3" t="str">
        <x:v>Plant3D 三维校审简化开发计划</x:v>
      </x:c>
      <x:c r="K1" s="3" t="str">
        <x:v>Plant3D 三维校审简化开发计划</x:v>
      </x:c>
      <x:c r="L1" s="3" t="str">
        <x:v>Plant3D 三维校审简化开发计划</x:v>
      </x:c>
    </x:row>
    <x:row r="2" ht="26" customHeight="1">
      <x:c r="A2" s="7" t="str">
        <x:v>以开发任务为主，不展开代码、接口和技术实现细节；计划截止 2026-08-10。</x:v>
      </x:c>
      <x:c r="B2" s="7" t="str">
        <x:v>以开发任务为主，不展开代码、接口和技术实现细节；计划截止 2026-08-10。</x:v>
      </x:c>
      <x:c r="C2" s="7" t="str">
        <x:v>以开发任务为主，不展开代码、接口和技术实现细节；计划截止 2026-08-10。</x:v>
      </x:c>
      <x:c r="D2" s="7" t="str">
        <x:v>以开发任务为主，不展开代码、接口和技术实现细节；计划截止 2026-08-10。</x:v>
      </x:c>
      <x:c r="E2" s="7" t="str">
        <x:v>以开发任务为主，不展开代码、接口和技术实现细节；计划截止 2026-08-10。</x:v>
      </x:c>
      <x:c r="F2" s="7" t="str">
        <x:v>以开发任务为主，不展开代码、接口和技术实现细节；计划截止 2026-08-10。</x:v>
      </x:c>
      <x:c r="G2" s="7" t="str">
        <x:v>以开发任务为主，不展开代码、接口和技术实现细节；计划截止 2026-08-10。</x:v>
      </x:c>
      <x:c r="H2" s="7" t="str">
        <x:v>以开发任务为主，不展开代码、接口和技术实现细节；计划截止 2026-08-10。</x:v>
      </x:c>
      <x:c r="I2" s="7" t="str">
        <x:v>以开发任务为主，不展开代码、接口和技术实现细节；计划截止 2026-08-10。</x:v>
      </x:c>
      <x:c r="J2" s="7" t="str">
        <x:v>以开发任务为主，不展开代码、接口和技术实现细节；计划截止 2026-08-10。</x:v>
      </x:c>
      <x:c r="K2" s="7" t="str">
        <x:v>以开发任务为主，不展开代码、接口和技术实现细节；计划截止 2026-08-10。</x:v>
      </x:c>
      <x:c r="L2" s="7" t="str">
        <x:v>以开发任务为主，不展开代码、接口和技术实现细节；计划截止 2026-08-10。</x:v>
      </x:c>
    </x:row>
    <x:row r="4" ht="30" customHeight="1">
      <x:c r="A4" s="13" t="str">
        <x:v>编号</x:v>
      </x:c>
      <x:c r="B4" s="13" t="str">
        <x:v>开发任务</x:v>
      </x:c>
      <x:c r="C4" s="13" t="str">
        <x:v>主要内容</x:v>
      </x:c>
      <x:c r="D4" s="13" t="str">
        <x:v>责任人</x:v>
      </x:c>
      <x:c r="E4" s="13" t="str">
        <x:v>开始日期</x:v>
      </x:c>
      <x:c r="F4" s="13" t="str">
        <x:v>结束日期</x:v>
      </x:c>
      <x:c r="G4" s="13" t="str">
        <x:v>工期</x:v>
      </x:c>
      <x:c r="H4" s="13" t="str">
        <x:v>优先级</x:v>
      </x:c>
      <x:c r="I4" s="13" t="str">
        <x:v>前置任务</x:v>
      </x:c>
      <x:c r="J4" s="13" t="str">
        <x:v>交付结果</x:v>
      </x:c>
      <x:c r="K4" s="13" t="str">
        <x:v>验收标准</x:v>
      </x:c>
      <x:c r="L4" s="13" t="str">
        <x:v>状态</x:v>
      </x:c>
    </x:row>
    <x:row r="5" ht="54" customHeight="1">
      <x:c r="A5" s="19" t="str">
        <x:v>D01</x:v>
      </x:c>
      <x:c r="B5" s="19" t="str">
        <x:v>需求确认与任务拆分</x:v>
      </x:c>
      <x:c r="C5" s="19" t="str">
        <x:v>确认图片中的功能范围、验收样例、负责人和交付顺序</x:v>
      </x:c>
      <x:c r="D5" s="19" t="str">
        <x:v>项目负责人</x:v>
      </x:c>
      <x:c r="E5" s="21" t="n">
        <x:v>46217.166666666664</x:v>
      </x:c>
      <x:c r="F5" s="21" t="n">
        <x:v>46218.166666666664</x:v>
      </x:c>
      <x:c r="G5" s="23" t="n">
        <x:f>NETWORKDAYS(E5,F5)</x:f>
        <x:v>2</x:v>
      </x:c>
      <x:c r="H5" s="19" t="str">
        <x:v>P0</x:v>
      </x:c>
      <x:c r="I5" s="19" t="str">
        <x:v>-</x:v>
      </x:c>
      <x:c r="J5" s="19" t="str">
        <x:v>确认后的开发任务清单</x:v>
      </x:c>
      <x:c r="K5" s="19" t="str">
        <x:v>所有功能都有负责人、日期和验收要求</x:v>
      </x:c>
      <x:c r="L5" s="19" t="str">
        <x:v>未开始</x:v>
      </x:c>
    </x:row>
    <x:row r="6" ht="54" customHeight="1">
      <x:c r="A6" s="20" t="str">
        <x:v>D02</x:v>
      </x:c>
      <x:c r="B6" s="20" t="str">
        <x:v>云线与模型元素绑定</x:v>
      </x:c>
      <x:c r="C6" s="20" t="str">
        <x:v>绘制云线前选择目标模型，云线保存后可定位并高亮关联元素</x:v>
      </x:c>
      <x:c r="D6" s="20" t="str">
        <x:v>校审前端</x:v>
      </x:c>
      <x:c r="E6" s="22" t="n">
        <x:v>46219.166666666664</x:v>
      </x:c>
      <x:c r="F6" s="22" t="n">
        <x:v>46220.166666666664</x:v>
      </x:c>
      <x:c r="G6" s="24" t="n">
        <x:f>NETWORKDAYS(E6,F6)</x:f>
        <x:v>2</x:v>
      </x:c>
      <x:c r="H6" s="20" t="str">
        <x:v>P0</x:v>
      </x:c>
      <x:c r="I6" s="20" t="str">
        <x:v>D01</x:v>
      </x:c>
      <x:c r="J6" s="20" t="str">
        <x:v>云线关联模型功能</x:v>
      </x:c>
      <x:c r="K6" s="20" t="str">
        <x:v>刷新或重新进入后关联关系不丢失</x:v>
      </x:c>
      <x:c r="L6" s="20" t="str">
        <x:v>未开始</x:v>
      </x:c>
    </x:row>
    <x:row r="7" ht="54" customHeight="1">
      <x:c r="A7" s="20" t="str">
        <x:v>D03</x:v>
      </x:c>
      <x:c r="B7" s="20" t="str">
        <x:v>云线自动截屏</x:v>
      </x:c>
      <x:c r="C7" s="20" t="str">
        <x:v>完成云线绘制后自动保存当前三维视角截图，并支持查看和重拍</x:v>
      </x:c>
      <x:c r="D7" s="20" t="str">
        <x:v>校审前端</x:v>
      </x:c>
      <x:c r="E7" s="22" t="n">
        <x:v>46223.166666666664</x:v>
      </x:c>
      <x:c r="F7" s="22" t="n">
        <x:v>46224.166666666664</x:v>
      </x:c>
      <x:c r="G7" s="24" t="n">
        <x:f>NETWORKDAYS(E7,F7)</x:f>
        <x:v>2</x:v>
      </x:c>
      <x:c r="H7" s="20" t="str">
        <x:v>P0</x:v>
      </x:c>
      <x:c r="I7" s="20" t="str">
        <x:v>D02</x:v>
      </x:c>
      <x:c r="J7" s="20" t="str">
        <x:v>自动截图功能</x:v>
      </x:c>
      <x:c r="K7" s="20" t="str">
        <x:v>云线创建后自动出现截图，失败时可重试</x:v>
      </x:c>
      <x:c r="L7" s="20" t="str">
        <x:v>未开始</x:v>
      </x:c>
    </x:row>
    <x:row r="8" ht="54" customHeight="1">
      <x:c r="A8" s="20" t="str">
        <x:v>D04</x:v>
      </x:c>
      <x:c r="B8" s="20" t="str">
        <x:v>指定距离模型显示与高亮</x:v>
      </x:c>
      <x:c r="C8" s="20" t="str">
        <x:v>选择一个模型后，只显示指定距离内的模型；支持恢复全部模型和高亮目标</x:v>
      </x:c>
      <x:c r="D8" s="20" t="str">
        <x:v>三维前端</x:v>
      </x:c>
      <x:c r="E8" s="22" t="n">
        <x:v>46219.166666666664</x:v>
      </x:c>
      <x:c r="F8" s="22" t="n">
        <x:v>46225.166666666664</x:v>
      </x:c>
      <x:c r="G8" s="24" t="n">
        <x:f>NETWORKDAYS(E8,F8)</x:f>
        <x:v>5</x:v>
      </x:c>
      <x:c r="H8" s="20" t="str">
        <x:v>P0</x:v>
      </x:c>
      <x:c r="I8" s="20" t="str">
        <x:v>D01</x:v>
      </x:c>
      <x:c r="J8" s="20" t="str">
        <x:v>范围显示与高亮功能</x:v>
      </x:c>
      <x:c r="K8" s="20" t="str">
        <x:v>5米/10米范围结果正确，管道越界部分可按要求显示</x:v>
      </x:c>
      <x:c r="L8" s="20" t="str">
        <x:v>未开始</x:v>
      </x:c>
    </x:row>
    <x:row r="9" ht="54" customHeight="1">
      <x:c r="A9" s="20" t="str">
        <x:v>D05</x:v>
      </x:c>
      <x:c r="B9" s="20" t="str">
        <x:v>增量更新与版本管理</x:v>
      </x:c>
      <x:c r="C9" s="20" t="str">
        <x:v>记录每次模型更新，形成可选择、可追溯的模型版本</x:v>
      </x:c>
      <x:c r="D9" s="20" t="str">
        <x:v>后端开发</x:v>
      </x:c>
      <x:c r="E9" s="22" t="n">
        <x:v>46219.166666666664</x:v>
      </x:c>
      <x:c r="F9" s="22" t="n">
        <x:v>46227.166666666664</x:v>
      </x:c>
      <x:c r="G9" s="24" t="n">
        <x:f>NETWORKDAYS(E9,F9)</x:f>
        <x:v>7</x:v>
      </x:c>
      <x:c r="H9" s="20" t="str">
        <x:v>P0</x:v>
      </x:c>
      <x:c r="I9" s="20" t="str">
        <x:v>D01</x:v>
      </x:c>
      <x:c r="J9" s="20" t="str">
        <x:v>模型版本列表与更新记录</x:v>
      </x:c>
      <x:c r="K9" s="20" t="str">
        <x:v>每次更新能生成版本，版本来源和时间清楚</x:v>
      </x:c>
      <x:c r="L9" s="20" t="str">
        <x:v>进行中</x:v>
      </x:c>
    </x:row>
    <x:row r="10" ht="54" customHeight="1">
      <x:c r="A10" s="20" t="str">
        <x:v>D06</x:v>
      </x:c>
      <x:c r="B10" s="20" t="str">
        <x:v>多版本三维对照</x:v>
      </x:c>
      <x:c r="C10" s="20" t="str">
        <x:v>选择两个版本，在三维中查看新增、删除、修改和位置变化</x:v>
      </x:c>
      <x:c r="D10" s="20" t="str">
        <x:v>三维前端</x:v>
      </x:c>
      <x:c r="E10" s="22" t="n">
        <x:v>46226.166666666664</x:v>
      </x:c>
      <x:c r="F10" s="22" t="n">
        <x:v>46232.166666666664</x:v>
      </x:c>
      <x:c r="G10" s="24" t="n">
        <x:f>NETWORKDAYS(E10,F10)</x:f>
        <x:v>5</x:v>
      </x:c>
      <x:c r="H10" s="20" t="str">
        <x:v>P0</x:v>
      </x:c>
      <x:c r="I10" s="20" t="str">
        <x:v>D05</x:v>
      </x:c>
      <x:c r="J10" s="20" t="str">
        <x:v>双版本三维对照功能</x:v>
      </x:c>
      <x:c r="K10" s="20" t="str">
        <x:v>两个版本模型显示正确，差异类型清晰可见</x:v>
      </x:c>
      <x:c r="L10" s="20" t="str">
        <x:v>进行中</x:v>
      </x:c>
    </x:row>
    <x:row r="11" ht="54" customHeight="1">
      <x:c r="A11" s="20" t="str">
        <x:v>D07</x:v>
      </x:c>
      <x:c r="B11" s="20" t="str">
        <x:v>PDF 和 Word 文件展示</x:v>
      </x:c>
      <x:c r="C11" s="20" t="str">
        <x:v>在校审界面查看与模型构件关联的 PDF、Word 文件</x:v>
      </x:c>
      <x:c r="D11" s="20" t="str">
        <x:v>校审前端</x:v>
      </x:c>
      <x:c r="E11" s="22" t="n">
        <x:v>46223.166666666664</x:v>
      </x:c>
      <x:c r="F11" s="22" t="n">
        <x:v>46226.166666666664</x:v>
      </x:c>
      <x:c r="G11" s="24" t="n">
        <x:f>NETWORKDAYS(E11,F11)</x:f>
        <x:v>4</x:v>
      </x:c>
      <x:c r="H11" s="20" t="str">
        <x:v>P0</x:v>
      </x:c>
      <x:c r="I11" s="20" t="str">
        <x:v>D01</x:v>
      </x:c>
      <x:c r="J11" s="20" t="str">
        <x:v>关联文件预览功能</x:v>
      </x:c>
      <x:c r="K11" s="20" t="str">
        <x:v>PDF、Word 可正常打开；异常文件可下载</x:v>
      </x:c>
      <x:c r="L11" s="20" t="str">
        <x:v>未开始</x:v>
      </x:c>
    </x:row>
    <x:row r="12" ht="54" customHeight="1">
      <x:c r="A12" s="20" t="str">
        <x:v>D08</x:v>
      </x:c>
      <x:c r="B12" s="20" t="str">
        <x:v>元素关键点获取</x:v>
      </x:c>
      <x:c r="C12" s="20" t="str">
        <x:v>在三维模型中显示并选择元素关键点</x:v>
      </x:c>
      <x:c r="D12" s="20" t="str">
        <x:v>三维前端</x:v>
      </x:c>
      <x:c r="E12" s="22" t="n">
        <x:v>46223.166666666664</x:v>
      </x:c>
      <x:c r="F12" s="22" t="n">
        <x:v>46225.166666666664</x:v>
      </x:c>
      <x:c r="G12" s="24" t="n">
        <x:f>NETWORKDAYS(E12,F12)</x:f>
        <x:v>3</x:v>
      </x:c>
      <x:c r="H12" s="20" t="str">
        <x:v>P0</x:v>
      </x:c>
      <x:c r="I12" s="20" t="str">
        <x:v>D01</x:v>
      </x:c>
      <x:c r="J12" s="20" t="str">
        <x:v>关键点显示与选择功能</x:v>
      </x:c>
      <x:c r="K12" s="20" t="str">
        <x:v>关键点位置正确，选择提示清楚</x:v>
      </x:c>
      <x:c r="L12" s="20" t="str">
        <x:v>未开始</x:v>
      </x:c>
    </x:row>
    <x:row r="13" ht="54" customHeight="1">
      <x:c r="A13" s="20" t="str">
        <x:v>D09</x:v>
      </x:c>
      <x:c r="B13" s="20" t="str">
        <x:v>关键点测量</x:v>
      </x:c>
      <x:c r="C13" s="20" t="str">
        <x:v>使用关键点完成距离、角度和标高测量，并保存测量结果</x:v>
      </x:c>
      <x:c r="D13" s="20" t="str">
        <x:v>三维前端</x:v>
      </x:c>
      <x:c r="E13" s="22" t="n">
        <x:v>46226.166666666664</x:v>
      </x:c>
      <x:c r="F13" s="22" t="n">
        <x:v>46230.166666666664</x:v>
      </x:c>
      <x:c r="G13" s="24" t="n">
        <x:f>NETWORKDAYS(E13,F13)</x:f>
        <x:v>3</x:v>
      </x:c>
      <x:c r="H13" s="20" t="str">
        <x:v>P0</x:v>
      </x:c>
      <x:c r="I13" s="20" t="str">
        <x:v>D08</x:v>
      </x:c>
      <x:c r="J13" s="20" t="str">
        <x:v>关键点测量功能</x:v>
      </x:c>
      <x:c r="K13" s="20" t="str">
        <x:v>距离、角度、标高结果正确且可查看/删除</x:v>
      </x:c>
      <x:c r="L13" s="20" t="str">
        <x:v>未开始</x:v>
      </x:c>
    </x:row>
    <x:row r="14" ht="54" customHeight="1">
      <x:c r="A14" s="20" t="str">
        <x:v>D10</x:v>
      </x:c>
      <x:c r="B14" s="20" t="str">
        <x:v>元素最近距离测量</x:v>
      </x:c>
      <x:c r="C14" s="20" t="str">
        <x:v>选择两个模型元素，自动计算并标注最近距离</x:v>
      </x:c>
      <x:c r="D14" s="20" t="str">
        <x:v>三维前端</x:v>
      </x:c>
      <x:c r="E14" s="22" t="n">
        <x:v>46227.166666666664</x:v>
      </x:c>
      <x:c r="F14" s="22" t="n">
        <x:v>46231.166666666664</x:v>
      </x:c>
      <x:c r="G14" s="24" t="n">
        <x:f>NETWORKDAYS(E14,F14)</x:f>
        <x:v>3</x:v>
      </x:c>
      <x:c r="H14" s="20" t="str">
        <x:v>P1</x:v>
      </x:c>
      <x:c r="I14" s="20" t="str">
        <x:v>D08</x:v>
      </x:c>
      <x:c r="J14" s="20" t="str">
        <x:v>元素最近距离功能</x:v>
      </x:c>
      <x:c r="K14" s="20" t="str">
        <x:v>最近点和距离与验收样例一致</x:v>
      </x:c>
      <x:c r="L14" s="20" t="str">
        <x:v>未开始</x:v>
      </x:c>
    </x:row>
    <x:row r="15" ht="54" customHeight="1">
      <x:c r="A15" s="20" t="str">
        <x:v>D11</x:v>
      </x:c>
      <x:c r="B15" s="20" t="str">
        <x:v>管道与梁板柱墙最近距离</x:v>
      </x:c>
      <x:c r="C15" s="20" t="str">
        <x:v>自动测量管道到梁、板、柱、墙的最近距离并生成标注</x:v>
      </x:c>
      <x:c r="D15" s="20" t="str">
        <x:v>三维/后端</x:v>
      </x:c>
      <x:c r="E15" s="22" t="n">
        <x:v>46230.166666666664</x:v>
      </x:c>
      <x:c r="F15" s="22" t="n">
        <x:v>46233.166666666664</x:v>
      </x:c>
      <x:c r="G15" s="24" t="n">
        <x:f>NETWORKDAYS(E15,F15)</x:f>
        <x:v>4</x:v>
      </x:c>
      <x:c r="H15" s="20" t="str">
        <x:v>P0</x:v>
      </x:c>
      <x:c r="I15" s="20" t="str">
        <x:v>D09</x:v>
      </x:c>
      <x:c r="J15" s="20" t="str">
        <x:v>管道与结构净距功能</x:v>
      </x:c>
      <x:c r="K15" s="20" t="str">
        <x:v>四类结构均可测量，结果能定位到对应构件</x:v>
      </x:c>
      <x:c r="L15" s="20" t="str">
        <x:v>未开始</x:v>
      </x:c>
    </x:row>
    <x:row r="16" ht="54" customHeight="1">
      <x:c r="A16" s="20" t="str">
        <x:v>D12</x:v>
      </x:c>
      <x:c r="B16" s="20" t="str">
        <x:v>管道与管道最近距离</x:v>
      </x:c>
      <x:c r="C16" s="20" t="str">
        <x:v>自动测量管道之间的最近距离，支持批量生成和隐藏标注</x:v>
      </x:c>
      <x:c r="D16" s="20" t="str">
        <x:v>三维前端</x:v>
      </x:c>
      <x:c r="E16" s="22" t="n">
        <x:v>46232.166666666664</x:v>
      </x:c>
      <x:c r="F16" s="22" t="n">
        <x:v>46234.166666666664</x:v>
      </x:c>
      <x:c r="G16" s="24" t="n">
        <x:f>NETWORKDAYS(E16,F16)</x:f>
        <x:v>3</x:v>
      </x:c>
      <x:c r="H16" s="20" t="str">
        <x:v>P0</x:v>
      </x:c>
      <x:c r="I16" s="20" t="str">
        <x:v>D09</x:v>
      </x:c>
      <x:c r="J16" s="20" t="str">
        <x:v>管道间净距功能</x:v>
      </x:c>
      <x:c r="K16" s="20" t="str">
        <x:v>标注不重复，距离正确，可显示/隐藏</x:v>
      </x:c>
      <x:c r="L16" s="20" t="str">
        <x:v>未开始</x:v>
      </x:c>
    </x:row>
    <x:row r="17" ht="54" customHeight="1">
      <x:c r="A17" s="20" t="str">
        <x:v>D13</x:v>
      </x:c>
      <x:c r="B17" s="20" t="str">
        <x:v>管道信息标注</x:v>
      </x:c>
      <x:c r="C17" s="20" t="str">
        <x:v>标注管道标高、直径、长度、材质、包络、结构距离和管间距</x:v>
      </x:c>
      <x:c r="D17" s="20" t="str">
        <x:v>三维前端</x:v>
      </x:c>
      <x:c r="E17" s="22" t="n">
        <x:v>46232.166666666664</x:v>
      </x:c>
      <x:c r="F17" s="22" t="n">
        <x:v>46238.166666666664</x:v>
      </x:c>
      <x:c r="G17" s="24" t="n">
        <x:f>NETWORKDAYS(E17,F17)</x:f>
        <x:v>5</x:v>
      </x:c>
      <x:c r="H17" s="20" t="str">
        <x:v>P0</x:v>
      </x:c>
      <x:c r="I17" s="20" t="str">
        <x:v>D11,D12</x:v>
      </x:c>
      <x:c r="J17" s="20" t="str">
        <x:v>完整管道标注功能</x:v>
      </x:c>
      <x:c r="K17" s="20" t="str">
        <x:v>字段齐全、单位一致、布局清晰，并与 ISO 图核对</x:v>
      </x:c>
      <x:c r="L17" s="20" t="str">
        <x:v>未开始</x:v>
      </x:c>
    </x:row>
    <x:row r="18" ht="54" customHeight="1">
      <x:c r="A18" s="20" t="str">
        <x:v>D14</x:v>
      </x:c>
      <x:c r="B18" s="20" t="str">
        <x:v>三维校审流程集成</x:v>
      </x:c>
      <x:c r="C18" s="20" t="str">
        <x:v>把版本对比、批注、截图、附件和测量结果接入现有编校审流程</x:v>
      </x:c>
      <x:c r="D18" s="20" t="str">
        <x:v>校审前端</x:v>
      </x:c>
      <x:c r="E18" s="22" t="n">
        <x:v>46237.166666666664</x:v>
      </x:c>
      <x:c r="F18" s="22" t="n">
        <x:v>46239.166666666664</x:v>
      </x:c>
      <x:c r="G18" s="24" t="n">
        <x:f>NETWORKDAYS(E18,F18)</x:f>
        <x:v>3</x:v>
      </x:c>
      <x:c r="H18" s="20" t="str">
        <x:v>P0</x:v>
      </x:c>
      <x:c r="I18" s="20" t="str">
        <x:v>D03,D06,D07,D13</x:v>
      </x:c>
      <x:c r="J18" s="20" t="str">
        <x:v>完整校审工作台</x:v>
      </x:c>
      <x:c r="K18" s="20" t="str">
        <x:v>发起、校核、审核、批准各角色可正常使用</x:v>
      </x:c>
      <x:c r="L18" s="20" t="str">
        <x:v>未开始</x:v>
      </x:c>
    </x:row>
    <x:row r="19" ht="54" customHeight="1">
      <x:c r="A19" s="20" t="str">
        <x:v>D15</x:v>
      </x:c>
      <x:c r="B19" s="20" t="str">
        <x:v>综合联调与用户验收</x:v>
      </x:c>
      <x:c r="C19" s="20" t="str">
        <x:v>使用真实模型和校审单逐项验证功能，集中修复影响使用的问题</x:v>
      </x:c>
      <x:c r="D19" s="20" t="str">
        <x:v>测试/联调</x:v>
      </x:c>
      <x:c r="E19" s="22" t="n">
        <x:v>46240.166666666664</x:v>
      </x:c>
      <x:c r="F19" s="22" t="n">
        <x:v>46241.166666666664</x:v>
      </x:c>
      <x:c r="G19" s="24" t="n">
        <x:f>NETWORKDAYS(E19,F19)</x:f>
        <x:v>2</x:v>
      </x:c>
      <x:c r="H19" s="20" t="str">
        <x:v>P0</x:v>
      </x:c>
      <x:c r="I19" s="20" t="str">
        <x:v>D14</x:v>
      </x:c>
      <x:c r="J19" s="20" t="str">
        <x:v>验收报告与问题清单</x:v>
      </x:c>
      <x:c r="K19" s="20" t="str">
        <x:v>主要功能全部通过，严重问题清零</x:v>
      </x:c>
      <x:c r="L19" s="20" t="str">
        <x:v>未开始</x:v>
      </x:c>
    </x:row>
    <x:row r="20" ht="54" customHeight="1">
      <x:c r="A20" s="20" t="str">
        <x:v>D16</x:v>
      </x:c>
      <x:c r="B20" s="20" t="str">
        <x:v>发布交付</x:v>
      </x:c>
      <x:c r="C20" s="20" t="str">
        <x:v>整理使用说明、部署版本和回退方案，完成最终发布</x:v>
      </x:c>
      <x:c r="D20" s="20" t="str">
        <x:v>项目负责人</x:v>
      </x:c>
      <x:c r="E20" s="22" t="n">
        <x:v>46244.166666666664</x:v>
      </x:c>
      <x:c r="F20" s="22" t="n">
        <x:v>46244.166666666664</x:v>
      </x:c>
      <x:c r="G20" s="24" t="n">
        <x:f>NETWORKDAYS(E20,F20)</x:f>
        <x:v>1</x:v>
      </x:c>
      <x:c r="H20" s="20" t="str">
        <x:v>P0</x:v>
      </x:c>
      <x:c r="I20" s="20" t="str">
        <x:v>D15</x:v>
      </x:c>
      <x:c r="J20" s="20" t="str">
        <x:v>正式发布版本</x:v>
      </x:c>
      <x:c r="K20" s="20" t="str">
        <x:v>上线检查通过，交付材料齐全</x:v>
      </x:c>
      <x:c r="L20" s="20" t="str">
        <x:v>未开始</x:v>
      </x:c>
    </x:row>
    <x:row r="22">
      <x:c r="A22" s="30" t="str">
        <x:v>总体目标：7月完成主要功能开发，8月3日进入流程集成，8月6日至7日完成用户验收，8月10日发布。</x:v>
      </x:c>
      <x:c r="B22" s="31" t="str">
        <x:v>总体目标：7月完成主要功能开发，8月3日进入流程集成，8月6日至7日完成用户验收，8月10日发布。</x:v>
      </x:c>
      <x:c r="C22" s="31" t="str">
        <x:v>总体目标：7月完成主要功能开发，8月3日进入流程集成，8月6日至7日完成用户验收，8月10日发布。</x:v>
      </x:c>
      <x:c r="D22" s="31" t="str">
        <x:v>总体目标：7月完成主要功能开发，8月3日进入流程集成，8月6日至7日完成用户验收，8月10日发布。</x:v>
      </x:c>
      <x:c r="E22" s="31" t="str">
        <x:v>总体目标：7月完成主要功能开发，8月3日进入流程集成，8月6日至7日完成用户验收，8月10日发布。</x:v>
      </x:c>
      <x:c r="F22" s="31" t="str">
        <x:v>总体目标：7月完成主要功能开发，8月3日进入流程集成，8月6日至7日完成用户验收，8月10日发布。</x:v>
      </x:c>
      <x:c r="G22" s="31" t="str">
        <x:v>总体目标：7月完成主要功能开发，8月3日进入流程集成，8月6日至7日完成用户验收，8月10日发布。</x:v>
      </x:c>
      <x:c r="H22" s="31" t="str">
        <x:v>总体目标：7月完成主要功能开发，8月3日进入流程集成，8月6日至7日完成用户验收，8月10日发布。</x:v>
      </x:c>
      <x:c r="I22" s="31" t="str">
        <x:v>总体目标：7月完成主要功能开发，8月3日进入流程集成，8月6日至7日完成用户验收，8月10日发布。</x:v>
      </x:c>
      <x:c r="J22" s="31" t="str">
        <x:v>总体目标：7月完成主要功能开发，8月3日进入流程集成，8月6日至7日完成用户验收，8月10日发布。</x:v>
      </x:c>
      <x:c r="K22" s="31" t="str">
        <x:v>总体目标：7月完成主要功能开发，8月3日进入流程集成，8月6日至7日完成用户验收，8月10日发布。</x:v>
      </x:c>
      <x:c r="L22" s="32" t="str">
        <x:v>总体目标：7月完成主要功能开发，8月3日进入流程集成，8月6日至7日完成用户验收，8月10日发布。</x:v>
      </x:c>
    </x:row>
  </x:sheetData>
  <x:mergeCells>
    <x:mergeCell ref="A1:L1"/>
    <x:mergeCell ref="A2:L2"/>
    <x:mergeCell ref="A22:L22"/>
  </x:mergeCells>
  <x:conditionalFormatting sqref="H5:H20">
    <x:cfRule type="containsText" dxfId="0" priority="1" operator="containsText" text="P0"/>
    <x:cfRule type="containsText" dxfId="1" priority="2" operator="containsText" text="P1"/>
  </x:conditionalFormatting>
  <x:conditionalFormatting sqref="L5:L20">
    <x:cfRule type="containsText" dxfId="2" priority="3" operator="containsText" text="进行中"/>
    <x:cfRule type="containsText" dxfId="3" priority="4" operator="containsText" text="已完成"/>
  </x:conditionalFormatting>
  <x:dataValidations count="2">
    <x:dataValidation type="list" sqref="H5:H20">
      <x:formula1>"P0,P1,P2"</x:formula1>
    </x:dataValidation>
    <x:dataValidation type="list" sqref="L5:L20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3c80ff9fe244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1" max="1" width="10" hidden="0" customWidth="1"/>
    <x:col min="2" max="2" width="34" hidden="0" customWidth="1"/>
    <x:col min="3" max="3" width="16" hidden="0" customWidth="1"/>
    <x:col min="4" max="4" width="12" hidden="0" customWidth="1"/>
    <x:col min="5" max="5" width="12" hidden="0" customWidth="1"/>
    <x:col min="6" max="6" width="13" hidden="0" customWidth="1"/>
  </x:cols>
  <x:sheetData>
    <x:row r="1" ht="34" customHeight="1">
      <x:c r="A1" s="3" t="str">
        <x:v>阶段计划与工作日排期</x:v>
      </x:c>
      <x:c r="B1" s="3" t="str">
        <x:v>阶段计划与工作日排期</x:v>
      </x:c>
      <x:c r="C1" s="3" t="str">
        <x:v>阶段计划与工作日排期</x:v>
      </x:c>
      <x:c r="D1" s="3" t="str">
        <x:v>阶段计划与工作日排期</x:v>
      </x:c>
      <x:c r="E1" s="3" t="str">
        <x:v>阶段计划与工作日排期</x:v>
      </x:c>
      <x:c r="F1" s="3" t="str">
        <x:v>阶段计划与工作日排期</x:v>
      </x:c>
      <x:c r="G1" s="3" t="str">
        <x:v>阶段计划与工作日排期</x:v>
      </x:c>
      <x:c r="H1" s="3" t="str">
        <x:v>阶段计划与工作日排期</x:v>
      </x:c>
      <x:c r="I1" s="3" t="str">
        <x:v>阶段计划与工作日排期</x:v>
      </x:c>
      <x:c r="J1" s="3" t="str">
        <x:v>阶段计划与工作日排期</x:v>
      </x:c>
      <x:c r="K1" s="3" t="str">
        <x:v>阶段计划与工作日排期</x:v>
      </x:c>
      <x:c r="L1" s="3" t="str">
        <x:v>阶段计划与工作日排期</x:v>
      </x:c>
      <x:c r="M1" s="3" t="str">
        <x:v>阶段计划与工作日排期</x:v>
      </x:c>
      <x:c r="N1" s="3" t="str">
        <x:v>阶段计划与工作日排期</x:v>
      </x:c>
      <x:c r="O1" s="3" t="str">
        <x:v>阶段计划与工作日排期</x:v>
      </x:c>
      <x:c r="P1" s="3" t="str">
        <x:v>阶段计划与工作日排期</x:v>
      </x:c>
      <x:c r="Q1" s="3" t="str">
        <x:v>阶段计划与工作日排期</x:v>
      </x:c>
      <x:c r="R1" s="3" t="str">
        <x:v>阶段计划与工作日排期</x:v>
      </x:c>
      <x:c r="S1" s="3" t="str">
        <x:v>阶段计划与工作日排期</x:v>
      </x:c>
      <x:c r="T1" s="3" t="str">
        <x:v>阶段计划与工作日排期</x:v>
      </x:c>
      <x:c r="U1" s="3" t="str">
        <x:v>阶段计划与工作日排期</x:v>
      </x:c>
      <x:c r="V1" s="3" t="str">
        <x:v>阶段计划与工作日排期</x:v>
      </x:c>
      <x:c r="W1" s="3" t="str">
        <x:v>阶段计划与工作日排期</x:v>
      </x:c>
      <x:c r="X1" s="3" t="str">
        <x:v>阶段计划与工作日排期</x:v>
      </x:c>
      <x:c r="Y1" s="3" t="str">
        <x:v>阶段计划与工作日排期</x:v>
      </x:c>
      <x:c r="Z1" s="3" t="str">
        <x:v>阶段计划与工作日排期</x:v>
      </x:c>
    </x:row>
    <x:row r="2" ht="26" customHeight="1">
      <x:c r="A2" s="7" t="str">
        <x:v>先看阶段目标，再看各开发任务的工作日安排。</x:v>
      </x:c>
      <x:c r="B2" s="7" t="str">
        <x:v>先看阶段目标，再看各开发任务的工作日安排。</x:v>
      </x:c>
      <x:c r="C2" s="7" t="str">
        <x:v>先看阶段目标，再看各开发任务的工作日安排。</x:v>
      </x:c>
      <x:c r="D2" s="7" t="str">
        <x:v>先看阶段目标，再看各开发任务的工作日安排。</x:v>
      </x:c>
      <x:c r="E2" s="7" t="str">
        <x:v>先看阶段目标，再看各开发任务的工作日安排。</x:v>
      </x:c>
      <x:c r="F2" s="7" t="str">
        <x:v>先看阶段目标，再看各开发任务的工作日安排。</x:v>
      </x:c>
      <x:c r="G2" s="7" t="str">
        <x:v>先看阶段目标，再看各开发任务的工作日安排。</x:v>
      </x:c>
      <x:c r="H2" s="7" t="str">
        <x:v>先看阶段目标，再看各开发任务的工作日安排。</x:v>
      </x:c>
      <x:c r="I2" s="7" t="str">
        <x:v>先看阶段目标，再看各开发任务的工作日安排。</x:v>
      </x:c>
      <x:c r="J2" s="7" t="str">
        <x:v>先看阶段目标，再看各开发任务的工作日安排。</x:v>
      </x:c>
      <x:c r="K2" s="7" t="str">
        <x:v>先看阶段目标，再看各开发任务的工作日安排。</x:v>
      </x:c>
      <x:c r="L2" s="7" t="str">
        <x:v>先看阶段目标，再看各开发任务的工作日安排。</x:v>
      </x:c>
      <x:c r="M2" s="7" t="str">
        <x:v>先看阶段目标，再看各开发任务的工作日安排。</x:v>
      </x:c>
      <x:c r="N2" s="7" t="str">
        <x:v>先看阶段目标，再看各开发任务的工作日安排。</x:v>
      </x:c>
      <x:c r="O2" s="7" t="str">
        <x:v>先看阶段目标，再看各开发任务的工作日安排。</x:v>
      </x:c>
      <x:c r="P2" s="7" t="str">
        <x:v>先看阶段目标，再看各开发任务的工作日安排。</x:v>
      </x:c>
      <x:c r="Q2" s="7" t="str">
        <x:v>先看阶段目标，再看各开发任务的工作日安排。</x:v>
      </x:c>
      <x:c r="R2" s="7" t="str">
        <x:v>先看阶段目标，再看各开发任务的工作日安排。</x:v>
      </x:c>
      <x:c r="S2" s="7" t="str">
        <x:v>先看阶段目标，再看各开发任务的工作日安排。</x:v>
      </x:c>
      <x:c r="T2" s="7" t="str">
        <x:v>先看阶段目标，再看各开发任务的工作日安排。</x:v>
      </x:c>
      <x:c r="U2" s="7" t="str">
        <x:v>先看阶段目标，再看各开发任务的工作日安排。</x:v>
      </x:c>
      <x:c r="V2" s="7" t="str">
        <x:v>先看阶段目标，再看各开发任务的工作日安排。</x:v>
      </x:c>
      <x:c r="W2" s="7" t="str">
        <x:v>先看阶段目标，再看各开发任务的工作日安排。</x:v>
      </x:c>
      <x:c r="X2" s="7" t="str">
        <x:v>先看阶段目标，再看各开发任务的工作日安排。</x:v>
      </x:c>
      <x:c r="Y2" s="7" t="str">
        <x:v>先看阶段目标，再看各开发任务的工作日安排。</x:v>
      </x:c>
      <x:c r="Z2" s="7" t="str">
        <x:v>先看阶段目标，再看各开发任务的工作日安排。</x:v>
      </x:c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 ht="30" customHeight="1">
      <x:c r="A4" s="13" t="str">
        <x:v>阶段</x:v>
      </x:c>
      <x:c r="B4" s="13" t="str">
        <x:v>开始</x:v>
      </x:c>
      <x:c r="C4" s="13" t="str">
        <x:v>结束</x:v>
      </x:c>
      <x:c r="D4" s="13" t="str">
        <x:v>阶段目标</x:v>
      </x:c>
      <x:c r="E4" s="13" t="str">
        <x:v>主要交付</x:v>
      </x:c>
      <x:c r="F4" s="13" t="str">
        <x:v>对应任务</x:v>
      </x:c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 ht="42" customHeight="1">
      <x:c r="A5" s="19" t="str">
        <x:v>第1阶段</x:v>
      </x:c>
      <x:c r="B5" s="21" t="n">
        <x:v>46217.166666666664</x:v>
      </x:c>
      <x:c r="C5" s="21" t="n">
        <x:v>46222.166666666664</x:v>
      </x:c>
      <x:c r="D5" s="19" t="str">
        <x:v>确认需求并启动开发</x:v>
      </x:c>
      <x:c r="E5" s="19" t="str">
        <x:v>需求清单；云线绑定；范围显示；版本管理启动</x:v>
      </x:c>
      <x:c r="F5" s="19" t="str">
        <x:v>D01-D05</x:v>
      </x:c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 ht="42" customHeight="1">
      <x:c r="A6" s="20" t="str">
        <x:v>第2阶段</x:v>
      </x:c>
      <x:c r="B6" s="22" t="n">
        <x:v>46223.166666666664</x:v>
      </x:c>
      <x:c r="C6" s="22" t="n">
        <x:v>46229.166666666664</x:v>
      </x:c>
      <x:c r="D6" s="20" t="str">
        <x:v>完成基础校审与测量能力</x:v>
      </x:c>
      <x:c r="E6" s="20" t="str">
        <x:v>自动截图；文件预览；关键点；版本数据准备</x:v>
      </x:c>
      <x:c r="F6" s="20" t="str">
        <x:v>D03-D09</x:v>
      </x:c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 ht="42" customHeight="1">
      <x:c r="A7" s="20" t="str">
        <x:v>第3阶段</x:v>
      </x:c>
      <x:c r="B7" s="22" t="n">
        <x:v>46230.166666666664</x:v>
      </x:c>
      <x:c r="C7" s="22" t="n">
        <x:v>46236.166666666664</x:v>
      </x:c>
      <x:c r="D7" s="20" t="str">
        <x:v>完成版本对比和最近距离功能</x:v>
      </x:c>
      <x:c r="E7" s="20" t="str">
        <x:v>多版本对照；元素/管道最近距离；管道标注主体</x:v>
      </x:c>
      <x:c r="F7" s="20" t="str">
        <x:v>D06,D10-D13</x:v>
      </x:c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 ht="42" customHeight="1">
      <x:c r="A8" s="20" t="str">
        <x:v>第4阶段</x:v>
      </x:c>
      <x:c r="B8" s="22" t="n">
        <x:v>46237.166666666664</x:v>
      </x:c>
      <x:c r="C8" s="22" t="n">
        <x:v>46241.166666666664</x:v>
      </x:c>
      <x:c r="D8" s="20" t="str">
        <x:v>集成校审流程并完成验收</x:v>
      </x:c>
      <x:c r="E8" s="20" t="str">
        <x:v>完整校审工作台；综合联调；用户验收</x:v>
      </x:c>
      <x:c r="F8" s="20" t="str">
        <x:v>D13-D15</x:v>
      </x:c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42" customHeight="1">
      <x:c r="A9" s="20" t="str">
        <x:v>发布日</x:v>
      </x:c>
      <x:c r="B9" s="22" t="n">
        <x:v>46244.166666666664</x:v>
      </x:c>
      <x:c r="C9" s="22" t="n">
        <x:v>46244.166666666664</x:v>
      </x:c>
      <x:c r="D9" s="20" t="str">
        <x:v>正式交付</x:v>
      </x:c>
      <x:c r="E9" s="20" t="str">
        <x:v>发布版本、使用说明、回退方案</x:v>
      </x:c>
      <x:c r="F9" s="20" t="str">
        <x:v>D16</x:v>
      </x:c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 ht="30" customHeight="1">
      <x:c r="A12" s="13" t="str">
        <x:v>编号</x:v>
      </x:c>
      <x:c r="B12" s="13" t="str">
        <x:v>开发任务</x:v>
      </x:c>
      <x:c r="C12" s="13" t="str">
        <x:v>责任人</x:v>
      </x:c>
      <x:c r="D12" s="13" t="str">
        <x:v>开始</x:v>
      </x:c>
      <x:c r="E12" s="13" t="str">
        <x:v>结束</x:v>
      </x:c>
      <x:c r="F12" s="13" t="str">
        <x:v>状态</x:v>
      </x:c>
      <x:c r="G12" s="33" t="n">
        <x:v>46217.166666666664</x:v>
      </x:c>
      <x:c r="H12" s="33" t="n">
        <x:v>46218.166666666664</x:v>
      </x:c>
      <x:c r="I12" s="33" t="n">
        <x:v>46219.166666666664</x:v>
      </x:c>
      <x:c r="J12" s="33" t="n">
        <x:v>46220.166666666664</x:v>
      </x:c>
      <x:c r="K12" s="33" t="n">
        <x:v>46223.166666666664</x:v>
      </x:c>
      <x:c r="L12" s="33" t="n">
        <x:v>46224.166666666664</x:v>
      </x:c>
      <x:c r="M12" s="33" t="n">
        <x:v>46225.166666666664</x:v>
      </x:c>
      <x:c r="N12" s="33" t="n">
        <x:v>46226.166666666664</x:v>
      </x:c>
      <x:c r="O12" s="33" t="n">
        <x:v>46227.166666666664</x:v>
      </x:c>
      <x:c r="P12" s="33" t="n">
        <x:v>46230.166666666664</x:v>
      </x:c>
      <x:c r="Q12" s="33" t="n">
        <x:v>46231.166666666664</x:v>
      </x:c>
      <x:c r="R12" s="33" t="n">
        <x:v>46232.166666666664</x:v>
      </x:c>
      <x:c r="S12" s="33" t="n">
        <x:v>46233.166666666664</x:v>
      </x:c>
      <x:c r="T12" s="33" t="n">
        <x:v>46234.166666666664</x:v>
      </x:c>
      <x:c r="U12" s="33" t="n">
        <x:v>46237.166666666664</x:v>
      </x:c>
      <x:c r="V12" s="33" t="n">
        <x:v>46238.166666666664</x:v>
      </x:c>
      <x:c r="W12" s="33" t="n">
        <x:v>46239.166666666664</x:v>
      </x:c>
      <x:c r="X12" s="33" t="n">
        <x:v>46240.166666666664</x:v>
      </x:c>
      <x:c r="Y12" s="33" t="n">
        <x:v>46241.166666666664</x:v>
      </x:c>
      <x:c r="Z12" s="33" t="n">
        <x:v>46244.166666666664</x:v>
      </x:c>
    </x:row>
    <x:row r="13" ht="32" customHeight="1">
      <x:c r="A13" s="19" t="str">
        <x:v>D01</x:v>
      </x:c>
      <x:c r="B13" s="19" t="str">
        <x:v>需求确认与任务拆分</x:v>
      </x:c>
      <x:c r="C13" s="19" t="str">
        <x:v>项目负责人</x:v>
      </x:c>
      <x:c r="D13" s="21" t="n">
        <x:v>46217.166666666664</x:v>
      </x:c>
      <x:c r="E13" s="21" t="n">
        <x:v>46218.166666666664</x:v>
      </x:c>
      <x:c r="F13" s="19" t="str">
        <x:v>未开始</x:v>
      </x:c>
      <x:c r="G13" s="45" t="str">
        <x:f>IF(AND(G$12&gt;=$D13,G$12&lt;=$E13),"■","")</x:f>
        <x:v>■</x:v>
      </x:c>
      <x:c r="H13" s="45" t="str">
        <x:f>IF(AND(H$12&gt;=$D13,H$12&lt;=$E13),"■","")</x:f>
        <x:v>■</x:v>
      </x:c>
      <x:c r="I13" s="45" t="str">
        <x:f>IF(AND(I$12&gt;=$D13,I$12&lt;=$E13),"■","")</x:f>
      </x:c>
      <x:c r="J13" s="45" t="str">
        <x:f>IF(AND(J$12&gt;=$D13,J$12&lt;=$E13),"■","")</x:f>
      </x:c>
      <x:c r="K13" s="45" t="str">
        <x:f>IF(AND(K$12&gt;=$D13,K$12&lt;=$E13),"■","")</x:f>
      </x:c>
      <x:c r="L13" s="45" t="str">
        <x:f>IF(AND(L$12&gt;=$D13,L$12&lt;=$E13),"■","")</x:f>
      </x:c>
      <x:c r="M13" s="45" t="str">
        <x:f>IF(AND(M$12&gt;=$D13,M$12&lt;=$E13),"■","")</x:f>
      </x:c>
      <x:c r="N13" s="45" t="str">
        <x:f>IF(AND(N$12&gt;=$D13,N$12&lt;=$E13),"■","")</x:f>
      </x:c>
      <x:c r="O13" s="46" t="str">
        <x:f>IF(AND(O$12&gt;=$D13,O$12&lt;=$E13),"■","")</x:f>
      </x:c>
      <x:c r="P13" s="46" t="str">
        <x:f>IF(AND(P$12&gt;=$D13,P$12&lt;=$E13),"■","")</x:f>
      </x:c>
      <x:c r="Q13" s="46" t="str">
        <x:f>IF(AND(Q$12&gt;=$D13,Q$12&lt;=$E13),"■","")</x:f>
      </x:c>
      <x:c r="R13" s="46" t="str">
        <x:f>IF(AND(R$12&gt;=$D13,R$12&lt;=$E13),"■","")</x:f>
      </x:c>
      <x:c r="S13" s="46" t="str">
        <x:f>IF(AND(S$12&gt;=$D13,S$12&lt;=$E13),"■","")</x:f>
      </x:c>
      <x:c r="T13" s="46" t="str">
        <x:f>IF(AND(T$12&gt;=$D13,T$12&lt;=$E13),"■","")</x:f>
      </x:c>
      <x:c r="U13" s="47" t="str">
        <x:f>IF(AND(U$12&gt;=$D13,U$12&lt;=$E13),"■","")</x:f>
      </x:c>
      <x:c r="V13" s="47" t="str">
        <x:f>IF(AND(V$12&gt;=$D13,V$12&lt;=$E13),"■","")</x:f>
      </x:c>
      <x:c r="W13" s="47" t="str">
        <x:f>IF(AND(W$12&gt;=$D13,W$12&lt;=$E13),"■","")</x:f>
      </x:c>
      <x:c r="X13" s="47" t="str">
        <x:f>IF(AND(X$12&gt;=$D13,X$12&lt;=$E13),"■","")</x:f>
      </x:c>
      <x:c r="Y13" s="47" t="str">
        <x:f>IF(AND(Y$12&gt;=$D13,Y$12&lt;=$E13),"■","")</x:f>
      </x:c>
      <x:c r="Z13" s="47" t="str">
        <x:f>IF(AND(Z$12&gt;=$D13,Z$12&lt;=$E13),"■","")</x:f>
      </x:c>
    </x:row>
    <x:row r="14" ht="32" customHeight="1">
      <x:c r="A14" s="20" t="str">
        <x:v>D02</x:v>
      </x:c>
      <x:c r="B14" s="20" t="str">
        <x:v>云线与模型元素绑定</x:v>
      </x:c>
      <x:c r="C14" s="20" t="str">
        <x:v>校审前端</x:v>
      </x:c>
      <x:c r="D14" s="22" t="n">
        <x:v>46219.166666666664</x:v>
      </x:c>
      <x:c r="E14" s="22" t="n">
        <x:v>46220.166666666664</x:v>
      </x:c>
      <x:c r="F14" s="20" t="str">
        <x:v>未开始</x:v>
      </x:c>
      <x:c r="G14" s="45" t="str">
        <x:f>IF(AND(G$12&gt;=$D14,G$12&lt;=$E14),"■","")</x:f>
      </x:c>
      <x:c r="H14" s="45" t="str">
        <x:f>IF(AND(H$12&gt;=$D14,H$12&lt;=$E14),"■","")</x:f>
      </x:c>
      <x:c r="I14" s="45" t="str">
        <x:f>IF(AND(I$12&gt;=$D14,I$12&lt;=$E14),"■","")</x:f>
        <x:v>■</x:v>
      </x:c>
      <x:c r="J14" s="45" t="str">
        <x:f>IF(AND(J$12&gt;=$D14,J$12&lt;=$E14),"■","")</x:f>
        <x:v>■</x:v>
      </x:c>
      <x:c r="K14" s="45" t="str">
        <x:f>IF(AND(K$12&gt;=$D14,K$12&lt;=$E14),"■","")</x:f>
      </x:c>
      <x:c r="L14" s="45" t="str">
        <x:f>IF(AND(L$12&gt;=$D14,L$12&lt;=$E14),"■","")</x:f>
      </x:c>
      <x:c r="M14" s="45" t="str">
        <x:f>IF(AND(M$12&gt;=$D14,M$12&lt;=$E14),"■","")</x:f>
      </x:c>
      <x:c r="N14" s="45" t="str">
        <x:f>IF(AND(N$12&gt;=$D14,N$12&lt;=$E14),"■","")</x:f>
      </x:c>
      <x:c r="O14" s="46" t="str">
        <x:f>IF(AND(O$12&gt;=$D14,O$12&lt;=$E14),"■","")</x:f>
      </x:c>
      <x:c r="P14" s="46" t="str">
        <x:f>IF(AND(P$12&gt;=$D14,P$12&lt;=$E14),"■","")</x:f>
      </x:c>
      <x:c r="Q14" s="46" t="str">
        <x:f>IF(AND(Q$12&gt;=$D14,Q$12&lt;=$E14),"■","")</x:f>
      </x:c>
      <x:c r="R14" s="46" t="str">
        <x:f>IF(AND(R$12&gt;=$D14,R$12&lt;=$E14),"■","")</x:f>
      </x:c>
      <x:c r="S14" s="46" t="str">
        <x:f>IF(AND(S$12&gt;=$D14,S$12&lt;=$E14),"■","")</x:f>
      </x:c>
      <x:c r="T14" s="46" t="str">
        <x:f>IF(AND(T$12&gt;=$D14,T$12&lt;=$E14),"■","")</x:f>
      </x:c>
      <x:c r="U14" s="47" t="str">
        <x:f>IF(AND(U$12&gt;=$D14,U$12&lt;=$E14),"■","")</x:f>
      </x:c>
      <x:c r="V14" s="47" t="str">
        <x:f>IF(AND(V$12&gt;=$D14,V$12&lt;=$E14),"■","")</x:f>
      </x:c>
      <x:c r="W14" s="47" t="str">
        <x:f>IF(AND(W$12&gt;=$D14,W$12&lt;=$E14),"■","")</x:f>
      </x:c>
      <x:c r="X14" s="47" t="str">
        <x:f>IF(AND(X$12&gt;=$D14,X$12&lt;=$E14),"■","")</x:f>
      </x:c>
      <x:c r="Y14" s="47" t="str">
        <x:f>IF(AND(Y$12&gt;=$D14,Y$12&lt;=$E14),"■","")</x:f>
      </x:c>
      <x:c r="Z14" s="47" t="str">
        <x:f>IF(AND(Z$12&gt;=$D14,Z$12&lt;=$E14),"■","")</x:f>
      </x:c>
    </x:row>
    <x:row r="15" ht="32" customHeight="1">
      <x:c r="A15" s="20" t="str">
        <x:v>D03</x:v>
      </x:c>
      <x:c r="B15" s="20" t="str">
        <x:v>云线自动截屏</x:v>
      </x:c>
      <x:c r="C15" s="20" t="str">
        <x:v>校审前端</x:v>
      </x:c>
      <x:c r="D15" s="22" t="n">
        <x:v>46223.166666666664</x:v>
      </x:c>
      <x:c r="E15" s="22" t="n">
        <x:v>46224.166666666664</x:v>
      </x:c>
      <x:c r="F15" s="20" t="str">
        <x:v>未开始</x:v>
      </x:c>
      <x:c r="G15" s="45" t="str">
        <x:f>IF(AND(G$12&gt;=$D15,G$12&lt;=$E15),"■","")</x:f>
      </x:c>
      <x:c r="H15" s="45" t="str">
        <x:f>IF(AND(H$12&gt;=$D15,H$12&lt;=$E15),"■","")</x:f>
      </x:c>
      <x:c r="I15" s="45" t="str">
        <x:f>IF(AND(I$12&gt;=$D15,I$12&lt;=$E15),"■","")</x:f>
      </x:c>
      <x:c r="J15" s="45" t="str">
        <x:f>IF(AND(J$12&gt;=$D15,J$12&lt;=$E15),"■","")</x:f>
      </x:c>
      <x:c r="K15" s="45" t="str">
        <x:f>IF(AND(K$12&gt;=$D15,K$12&lt;=$E15),"■","")</x:f>
        <x:v>■</x:v>
      </x:c>
      <x:c r="L15" s="45" t="str">
        <x:f>IF(AND(L$12&gt;=$D15,L$12&lt;=$E15),"■","")</x:f>
        <x:v>■</x:v>
      </x:c>
      <x:c r="M15" s="45" t="str">
        <x:f>IF(AND(M$12&gt;=$D15,M$12&lt;=$E15),"■","")</x:f>
      </x:c>
      <x:c r="N15" s="45" t="str">
        <x:f>IF(AND(N$12&gt;=$D15,N$12&lt;=$E15),"■","")</x:f>
      </x:c>
      <x:c r="O15" s="46" t="str">
        <x:f>IF(AND(O$12&gt;=$D15,O$12&lt;=$E15),"■","")</x:f>
      </x:c>
      <x:c r="P15" s="46" t="str">
        <x:f>IF(AND(P$12&gt;=$D15,P$12&lt;=$E15),"■","")</x:f>
      </x:c>
      <x:c r="Q15" s="46" t="str">
        <x:f>IF(AND(Q$12&gt;=$D15,Q$12&lt;=$E15),"■","")</x:f>
      </x:c>
      <x:c r="R15" s="46" t="str">
        <x:f>IF(AND(R$12&gt;=$D15,R$12&lt;=$E15),"■","")</x:f>
      </x:c>
      <x:c r="S15" s="46" t="str">
        <x:f>IF(AND(S$12&gt;=$D15,S$12&lt;=$E15),"■","")</x:f>
      </x:c>
      <x:c r="T15" s="46" t="str">
        <x:f>IF(AND(T$12&gt;=$D15,T$12&lt;=$E15),"■","")</x:f>
      </x:c>
      <x:c r="U15" s="47" t="str">
        <x:f>IF(AND(U$12&gt;=$D15,U$12&lt;=$E15),"■","")</x:f>
      </x:c>
      <x:c r="V15" s="47" t="str">
        <x:f>IF(AND(V$12&gt;=$D15,V$12&lt;=$E15),"■","")</x:f>
      </x:c>
      <x:c r="W15" s="47" t="str">
        <x:f>IF(AND(W$12&gt;=$D15,W$12&lt;=$E15),"■","")</x:f>
      </x:c>
      <x:c r="X15" s="47" t="str">
        <x:f>IF(AND(X$12&gt;=$D15,X$12&lt;=$E15),"■","")</x:f>
      </x:c>
      <x:c r="Y15" s="47" t="str">
        <x:f>IF(AND(Y$12&gt;=$D15,Y$12&lt;=$E15),"■","")</x:f>
      </x:c>
      <x:c r="Z15" s="47" t="str">
        <x:f>IF(AND(Z$12&gt;=$D15,Z$12&lt;=$E15),"■","")</x:f>
      </x:c>
    </x:row>
    <x:row r="16" ht="32" customHeight="1">
      <x:c r="A16" s="20" t="str">
        <x:v>D04</x:v>
      </x:c>
      <x:c r="B16" s="20" t="str">
        <x:v>指定距离模型显示与高亮</x:v>
      </x:c>
      <x:c r="C16" s="20" t="str">
        <x:v>三维前端</x:v>
      </x:c>
      <x:c r="D16" s="22" t="n">
        <x:v>46219.166666666664</x:v>
      </x:c>
      <x:c r="E16" s="22" t="n">
        <x:v>46225.166666666664</x:v>
      </x:c>
      <x:c r="F16" s="20" t="str">
        <x:v>未开始</x:v>
      </x:c>
      <x:c r="G16" s="45" t="str">
        <x:f>IF(AND(G$12&gt;=$D16,G$12&lt;=$E16),"■","")</x:f>
      </x:c>
      <x:c r="H16" s="45" t="str">
        <x:f>IF(AND(H$12&gt;=$D16,H$12&lt;=$E16),"■","")</x:f>
      </x:c>
      <x:c r="I16" s="45" t="str">
        <x:f>IF(AND(I$12&gt;=$D16,I$12&lt;=$E16),"■","")</x:f>
        <x:v>■</x:v>
      </x:c>
      <x:c r="J16" s="45" t="str">
        <x:f>IF(AND(J$12&gt;=$D16,J$12&lt;=$E16),"■","")</x:f>
        <x:v>■</x:v>
      </x:c>
      <x:c r="K16" s="45" t="str">
        <x:f>IF(AND(K$12&gt;=$D16,K$12&lt;=$E16),"■","")</x:f>
        <x:v>■</x:v>
      </x:c>
      <x:c r="L16" s="45" t="str">
        <x:f>IF(AND(L$12&gt;=$D16,L$12&lt;=$E16),"■","")</x:f>
        <x:v>■</x:v>
      </x:c>
      <x:c r="M16" s="45" t="str">
        <x:f>IF(AND(M$12&gt;=$D16,M$12&lt;=$E16),"■","")</x:f>
        <x:v>■</x:v>
      </x:c>
      <x:c r="N16" s="45" t="str">
        <x:f>IF(AND(N$12&gt;=$D16,N$12&lt;=$E16),"■","")</x:f>
      </x:c>
      <x:c r="O16" s="46" t="str">
        <x:f>IF(AND(O$12&gt;=$D16,O$12&lt;=$E16),"■","")</x:f>
      </x:c>
      <x:c r="P16" s="46" t="str">
        <x:f>IF(AND(P$12&gt;=$D16,P$12&lt;=$E16),"■","")</x:f>
      </x:c>
      <x:c r="Q16" s="46" t="str">
        <x:f>IF(AND(Q$12&gt;=$D16,Q$12&lt;=$E16),"■","")</x:f>
      </x:c>
      <x:c r="R16" s="46" t="str">
        <x:f>IF(AND(R$12&gt;=$D16,R$12&lt;=$E16),"■","")</x:f>
      </x:c>
      <x:c r="S16" s="46" t="str">
        <x:f>IF(AND(S$12&gt;=$D16,S$12&lt;=$E16),"■","")</x:f>
      </x:c>
      <x:c r="T16" s="46" t="str">
        <x:f>IF(AND(T$12&gt;=$D16,T$12&lt;=$E16),"■","")</x:f>
      </x:c>
      <x:c r="U16" s="47" t="str">
        <x:f>IF(AND(U$12&gt;=$D16,U$12&lt;=$E16),"■","")</x:f>
      </x:c>
      <x:c r="V16" s="47" t="str">
        <x:f>IF(AND(V$12&gt;=$D16,V$12&lt;=$E16),"■","")</x:f>
      </x:c>
      <x:c r="W16" s="47" t="str">
        <x:f>IF(AND(W$12&gt;=$D16,W$12&lt;=$E16),"■","")</x:f>
      </x:c>
      <x:c r="X16" s="47" t="str">
        <x:f>IF(AND(X$12&gt;=$D16,X$12&lt;=$E16),"■","")</x:f>
      </x:c>
      <x:c r="Y16" s="47" t="str">
        <x:f>IF(AND(Y$12&gt;=$D16,Y$12&lt;=$E16),"■","")</x:f>
      </x:c>
      <x:c r="Z16" s="47" t="str">
        <x:f>IF(AND(Z$12&gt;=$D16,Z$12&lt;=$E16),"■","")</x:f>
      </x:c>
    </x:row>
    <x:row r="17" ht="32" customHeight="1">
      <x:c r="A17" s="20" t="str">
        <x:v>D05</x:v>
      </x:c>
      <x:c r="B17" s="20" t="str">
        <x:v>增量更新与版本管理</x:v>
      </x:c>
      <x:c r="C17" s="20" t="str">
        <x:v>后端开发</x:v>
      </x:c>
      <x:c r="D17" s="22" t="n">
        <x:v>46219.166666666664</x:v>
      </x:c>
      <x:c r="E17" s="22" t="n">
        <x:v>46227.166666666664</x:v>
      </x:c>
      <x:c r="F17" s="20" t="str">
        <x:v>进行中</x:v>
      </x:c>
      <x:c r="G17" s="45" t="str">
        <x:f>IF(AND(G$12&gt;=$D17,G$12&lt;=$E17),"■","")</x:f>
      </x:c>
      <x:c r="H17" s="45" t="str">
        <x:f>IF(AND(H$12&gt;=$D17,H$12&lt;=$E17),"■","")</x:f>
      </x:c>
      <x:c r="I17" s="45" t="str">
        <x:f>IF(AND(I$12&gt;=$D17,I$12&lt;=$E17),"■","")</x:f>
        <x:v>■</x:v>
      </x:c>
      <x:c r="J17" s="45" t="str">
        <x:f>IF(AND(J$12&gt;=$D17,J$12&lt;=$E17),"■","")</x:f>
        <x:v>■</x:v>
      </x:c>
      <x:c r="K17" s="45" t="str">
        <x:f>IF(AND(K$12&gt;=$D17,K$12&lt;=$E17),"■","")</x:f>
        <x:v>■</x:v>
      </x:c>
      <x:c r="L17" s="45" t="str">
        <x:f>IF(AND(L$12&gt;=$D17,L$12&lt;=$E17),"■","")</x:f>
        <x:v>■</x:v>
      </x:c>
      <x:c r="M17" s="45" t="str">
        <x:f>IF(AND(M$12&gt;=$D17,M$12&lt;=$E17),"■","")</x:f>
        <x:v>■</x:v>
      </x:c>
      <x:c r="N17" s="45" t="str">
        <x:f>IF(AND(N$12&gt;=$D17,N$12&lt;=$E17),"■","")</x:f>
        <x:v>■</x:v>
      </x:c>
      <x:c r="O17" s="46" t="str">
        <x:f>IF(AND(O$12&gt;=$D17,O$12&lt;=$E17),"■","")</x:f>
        <x:v>■</x:v>
      </x:c>
      <x:c r="P17" s="46" t="str">
        <x:f>IF(AND(P$12&gt;=$D17,P$12&lt;=$E17),"■","")</x:f>
      </x:c>
      <x:c r="Q17" s="46" t="str">
        <x:f>IF(AND(Q$12&gt;=$D17,Q$12&lt;=$E17),"■","")</x:f>
      </x:c>
      <x:c r="R17" s="46" t="str">
        <x:f>IF(AND(R$12&gt;=$D17,R$12&lt;=$E17),"■","")</x:f>
      </x:c>
      <x:c r="S17" s="46" t="str">
        <x:f>IF(AND(S$12&gt;=$D17,S$12&lt;=$E17),"■","")</x:f>
      </x:c>
      <x:c r="T17" s="46" t="str">
        <x:f>IF(AND(T$12&gt;=$D17,T$12&lt;=$E17),"■","")</x:f>
      </x:c>
      <x:c r="U17" s="47" t="str">
        <x:f>IF(AND(U$12&gt;=$D17,U$12&lt;=$E17),"■","")</x:f>
      </x:c>
      <x:c r="V17" s="47" t="str">
        <x:f>IF(AND(V$12&gt;=$D17,V$12&lt;=$E17),"■","")</x:f>
      </x:c>
      <x:c r="W17" s="47" t="str">
        <x:f>IF(AND(W$12&gt;=$D17,W$12&lt;=$E17),"■","")</x:f>
      </x:c>
      <x:c r="X17" s="47" t="str">
        <x:f>IF(AND(X$12&gt;=$D17,X$12&lt;=$E17),"■","")</x:f>
      </x:c>
      <x:c r="Y17" s="47" t="str">
        <x:f>IF(AND(Y$12&gt;=$D17,Y$12&lt;=$E17),"■","")</x:f>
      </x:c>
      <x:c r="Z17" s="47" t="str">
        <x:f>IF(AND(Z$12&gt;=$D17,Z$12&lt;=$E17),"■","")</x:f>
      </x:c>
    </x:row>
    <x:row r="18" ht="32" customHeight="1">
      <x:c r="A18" s="20" t="str">
        <x:v>D06</x:v>
      </x:c>
      <x:c r="B18" s="20" t="str">
        <x:v>多版本三维对照</x:v>
      </x:c>
      <x:c r="C18" s="20" t="str">
        <x:v>三维前端</x:v>
      </x:c>
      <x:c r="D18" s="22" t="n">
        <x:v>46226.166666666664</x:v>
      </x:c>
      <x:c r="E18" s="22" t="n">
        <x:v>46232.166666666664</x:v>
      </x:c>
      <x:c r="F18" s="20" t="str">
        <x:v>进行中</x:v>
      </x:c>
      <x:c r="G18" s="45" t="str">
        <x:f>IF(AND(G$12&gt;=$D18,G$12&lt;=$E18),"■","")</x:f>
      </x:c>
      <x:c r="H18" s="45" t="str">
        <x:f>IF(AND(H$12&gt;=$D18,H$12&lt;=$E18),"■","")</x:f>
      </x:c>
      <x:c r="I18" s="45" t="str">
        <x:f>IF(AND(I$12&gt;=$D18,I$12&lt;=$E18),"■","")</x:f>
      </x:c>
      <x:c r="J18" s="45" t="str">
        <x:f>IF(AND(J$12&gt;=$D18,J$12&lt;=$E18),"■","")</x:f>
      </x:c>
      <x:c r="K18" s="45" t="str">
        <x:f>IF(AND(K$12&gt;=$D18,K$12&lt;=$E18),"■","")</x:f>
      </x:c>
      <x:c r="L18" s="45" t="str">
        <x:f>IF(AND(L$12&gt;=$D18,L$12&lt;=$E18),"■","")</x:f>
      </x:c>
      <x:c r="M18" s="45" t="str">
        <x:f>IF(AND(M$12&gt;=$D18,M$12&lt;=$E18),"■","")</x:f>
      </x:c>
      <x:c r="N18" s="45" t="str">
        <x:f>IF(AND(N$12&gt;=$D18,N$12&lt;=$E18),"■","")</x:f>
        <x:v>■</x:v>
      </x:c>
      <x:c r="O18" s="46" t="str">
        <x:f>IF(AND(O$12&gt;=$D18,O$12&lt;=$E18),"■","")</x:f>
        <x:v>■</x:v>
      </x:c>
      <x:c r="P18" s="46" t="str">
        <x:f>IF(AND(P$12&gt;=$D18,P$12&lt;=$E18),"■","")</x:f>
        <x:v>■</x:v>
      </x:c>
      <x:c r="Q18" s="46" t="str">
        <x:f>IF(AND(Q$12&gt;=$D18,Q$12&lt;=$E18),"■","")</x:f>
        <x:v>■</x:v>
      </x:c>
      <x:c r="R18" s="46" t="str">
        <x:f>IF(AND(R$12&gt;=$D18,R$12&lt;=$E18),"■","")</x:f>
        <x:v>■</x:v>
      </x:c>
      <x:c r="S18" s="46" t="str">
        <x:f>IF(AND(S$12&gt;=$D18,S$12&lt;=$E18),"■","")</x:f>
      </x:c>
      <x:c r="T18" s="46" t="str">
        <x:f>IF(AND(T$12&gt;=$D18,T$12&lt;=$E18),"■","")</x:f>
      </x:c>
      <x:c r="U18" s="47" t="str">
        <x:f>IF(AND(U$12&gt;=$D18,U$12&lt;=$E18),"■","")</x:f>
      </x:c>
      <x:c r="V18" s="47" t="str">
        <x:f>IF(AND(V$12&gt;=$D18,V$12&lt;=$E18),"■","")</x:f>
      </x:c>
      <x:c r="W18" s="47" t="str">
        <x:f>IF(AND(W$12&gt;=$D18,W$12&lt;=$E18),"■","")</x:f>
      </x:c>
      <x:c r="X18" s="47" t="str">
        <x:f>IF(AND(X$12&gt;=$D18,X$12&lt;=$E18),"■","")</x:f>
      </x:c>
      <x:c r="Y18" s="47" t="str">
        <x:f>IF(AND(Y$12&gt;=$D18,Y$12&lt;=$E18),"■","")</x:f>
      </x:c>
      <x:c r="Z18" s="47" t="str">
        <x:f>IF(AND(Z$12&gt;=$D18,Z$12&lt;=$E18),"■","")</x:f>
      </x:c>
    </x:row>
    <x:row r="19" ht="32" customHeight="1">
      <x:c r="A19" s="20" t="str">
        <x:v>D07</x:v>
      </x:c>
      <x:c r="B19" s="20" t="str">
        <x:v>PDF 和 Word 文件展示</x:v>
      </x:c>
      <x:c r="C19" s="20" t="str">
        <x:v>校审前端</x:v>
      </x:c>
      <x:c r="D19" s="22" t="n">
        <x:v>46223.166666666664</x:v>
      </x:c>
      <x:c r="E19" s="22" t="n">
        <x:v>46226.166666666664</x:v>
      </x:c>
      <x:c r="F19" s="20" t="str">
        <x:v>未开始</x:v>
      </x:c>
      <x:c r="G19" s="45" t="str">
        <x:f>IF(AND(G$12&gt;=$D19,G$12&lt;=$E19),"■","")</x:f>
      </x:c>
      <x:c r="H19" s="45" t="str">
        <x:f>IF(AND(H$12&gt;=$D19,H$12&lt;=$E19),"■","")</x:f>
      </x:c>
      <x:c r="I19" s="45" t="str">
        <x:f>IF(AND(I$12&gt;=$D19,I$12&lt;=$E19),"■","")</x:f>
      </x:c>
      <x:c r="J19" s="45" t="str">
        <x:f>IF(AND(J$12&gt;=$D19,J$12&lt;=$E19),"■","")</x:f>
      </x:c>
      <x:c r="K19" s="45" t="str">
        <x:f>IF(AND(K$12&gt;=$D19,K$12&lt;=$E19),"■","")</x:f>
        <x:v>■</x:v>
      </x:c>
      <x:c r="L19" s="45" t="str">
        <x:f>IF(AND(L$12&gt;=$D19,L$12&lt;=$E19),"■","")</x:f>
        <x:v>■</x:v>
      </x:c>
      <x:c r="M19" s="45" t="str">
        <x:f>IF(AND(M$12&gt;=$D19,M$12&lt;=$E19),"■","")</x:f>
        <x:v>■</x:v>
      </x:c>
      <x:c r="N19" s="45" t="str">
        <x:f>IF(AND(N$12&gt;=$D19,N$12&lt;=$E19),"■","")</x:f>
        <x:v>■</x:v>
      </x:c>
      <x:c r="O19" s="46" t="str">
        <x:f>IF(AND(O$12&gt;=$D19,O$12&lt;=$E19),"■","")</x:f>
      </x:c>
      <x:c r="P19" s="46" t="str">
        <x:f>IF(AND(P$12&gt;=$D19,P$12&lt;=$E19),"■","")</x:f>
      </x:c>
      <x:c r="Q19" s="46" t="str">
        <x:f>IF(AND(Q$12&gt;=$D19,Q$12&lt;=$E19),"■","")</x:f>
      </x:c>
      <x:c r="R19" s="46" t="str">
        <x:f>IF(AND(R$12&gt;=$D19,R$12&lt;=$E19),"■","")</x:f>
      </x:c>
      <x:c r="S19" s="46" t="str">
        <x:f>IF(AND(S$12&gt;=$D19,S$12&lt;=$E19),"■","")</x:f>
      </x:c>
      <x:c r="T19" s="46" t="str">
        <x:f>IF(AND(T$12&gt;=$D19,T$12&lt;=$E19),"■","")</x:f>
      </x:c>
      <x:c r="U19" s="47" t="str">
        <x:f>IF(AND(U$12&gt;=$D19,U$12&lt;=$E19),"■","")</x:f>
      </x:c>
      <x:c r="V19" s="47" t="str">
        <x:f>IF(AND(V$12&gt;=$D19,V$12&lt;=$E19),"■","")</x:f>
      </x:c>
      <x:c r="W19" s="47" t="str">
        <x:f>IF(AND(W$12&gt;=$D19,W$12&lt;=$E19),"■","")</x:f>
      </x:c>
      <x:c r="X19" s="47" t="str">
        <x:f>IF(AND(X$12&gt;=$D19,X$12&lt;=$E19),"■","")</x:f>
      </x:c>
      <x:c r="Y19" s="47" t="str">
        <x:f>IF(AND(Y$12&gt;=$D19,Y$12&lt;=$E19),"■","")</x:f>
      </x:c>
      <x:c r="Z19" s="47" t="str">
        <x:f>IF(AND(Z$12&gt;=$D19,Z$12&lt;=$E19),"■","")</x:f>
      </x:c>
    </x:row>
    <x:row r="20" ht="32" customHeight="1">
      <x:c r="A20" s="20" t="str">
        <x:v>D08</x:v>
      </x:c>
      <x:c r="B20" s="20" t="str">
        <x:v>元素关键点获取</x:v>
      </x:c>
      <x:c r="C20" s="20" t="str">
        <x:v>三维前端</x:v>
      </x:c>
      <x:c r="D20" s="22" t="n">
        <x:v>46223.166666666664</x:v>
      </x:c>
      <x:c r="E20" s="22" t="n">
        <x:v>46225.166666666664</x:v>
      </x:c>
      <x:c r="F20" s="20" t="str">
        <x:v>未开始</x:v>
      </x:c>
      <x:c r="G20" s="45" t="str">
        <x:f>IF(AND(G$12&gt;=$D20,G$12&lt;=$E20),"■","")</x:f>
      </x:c>
      <x:c r="H20" s="45" t="str">
        <x:f>IF(AND(H$12&gt;=$D20,H$12&lt;=$E20),"■","")</x:f>
      </x:c>
      <x:c r="I20" s="45" t="str">
        <x:f>IF(AND(I$12&gt;=$D20,I$12&lt;=$E20),"■","")</x:f>
      </x:c>
      <x:c r="J20" s="45" t="str">
        <x:f>IF(AND(J$12&gt;=$D20,J$12&lt;=$E20),"■","")</x:f>
      </x:c>
      <x:c r="K20" s="45" t="str">
        <x:f>IF(AND(K$12&gt;=$D20,K$12&lt;=$E20),"■","")</x:f>
        <x:v>■</x:v>
      </x:c>
      <x:c r="L20" s="45" t="str">
        <x:f>IF(AND(L$12&gt;=$D20,L$12&lt;=$E20),"■","")</x:f>
        <x:v>■</x:v>
      </x:c>
      <x:c r="M20" s="45" t="str">
        <x:f>IF(AND(M$12&gt;=$D20,M$12&lt;=$E20),"■","")</x:f>
        <x:v>■</x:v>
      </x:c>
      <x:c r="N20" s="45" t="str">
        <x:f>IF(AND(N$12&gt;=$D20,N$12&lt;=$E20),"■","")</x:f>
      </x:c>
      <x:c r="O20" s="46" t="str">
        <x:f>IF(AND(O$12&gt;=$D20,O$12&lt;=$E20),"■","")</x:f>
      </x:c>
      <x:c r="P20" s="46" t="str">
        <x:f>IF(AND(P$12&gt;=$D20,P$12&lt;=$E20),"■","")</x:f>
      </x:c>
      <x:c r="Q20" s="46" t="str">
        <x:f>IF(AND(Q$12&gt;=$D20,Q$12&lt;=$E20),"■","")</x:f>
      </x:c>
      <x:c r="R20" s="46" t="str">
        <x:f>IF(AND(R$12&gt;=$D20,R$12&lt;=$E20),"■","")</x:f>
      </x:c>
      <x:c r="S20" s="46" t="str">
        <x:f>IF(AND(S$12&gt;=$D20,S$12&lt;=$E20),"■","")</x:f>
      </x:c>
      <x:c r="T20" s="46" t="str">
        <x:f>IF(AND(T$12&gt;=$D20,T$12&lt;=$E20),"■","")</x:f>
      </x:c>
      <x:c r="U20" s="47" t="str">
        <x:f>IF(AND(U$12&gt;=$D20,U$12&lt;=$E20),"■","")</x:f>
      </x:c>
      <x:c r="V20" s="47" t="str">
        <x:f>IF(AND(V$12&gt;=$D20,V$12&lt;=$E20),"■","")</x:f>
      </x:c>
      <x:c r="W20" s="47" t="str">
        <x:f>IF(AND(W$12&gt;=$D20,W$12&lt;=$E20),"■","")</x:f>
      </x:c>
      <x:c r="X20" s="47" t="str">
        <x:f>IF(AND(X$12&gt;=$D20,X$12&lt;=$E20),"■","")</x:f>
      </x:c>
      <x:c r="Y20" s="47" t="str">
        <x:f>IF(AND(Y$12&gt;=$D20,Y$12&lt;=$E20),"■","")</x:f>
      </x:c>
      <x:c r="Z20" s="47" t="str">
        <x:f>IF(AND(Z$12&gt;=$D20,Z$12&lt;=$E20),"■","")</x:f>
      </x:c>
    </x:row>
    <x:row r="21" ht="32" customHeight="1">
      <x:c r="A21" s="20" t="str">
        <x:v>D09</x:v>
      </x:c>
      <x:c r="B21" s="20" t="str">
        <x:v>关键点测量</x:v>
      </x:c>
      <x:c r="C21" s="20" t="str">
        <x:v>三维前端</x:v>
      </x:c>
      <x:c r="D21" s="22" t="n">
        <x:v>46226.166666666664</x:v>
      </x:c>
      <x:c r="E21" s="22" t="n">
        <x:v>46230.166666666664</x:v>
      </x:c>
      <x:c r="F21" s="20" t="str">
        <x:v>未开始</x:v>
      </x:c>
      <x:c r="G21" s="45" t="str">
        <x:f>IF(AND(G$12&gt;=$D21,G$12&lt;=$E21),"■","")</x:f>
      </x:c>
      <x:c r="H21" s="45" t="str">
        <x:f>IF(AND(H$12&gt;=$D21,H$12&lt;=$E21),"■","")</x:f>
      </x:c>
      <x:c r="I21" s="45" t="str">
        <x:f>IF(AND(I$12&gt;=$D21,I$12&lt;=$E21),"■","")</x:f>
      </x:c>
      <x:c r="J21" s="45" t="str">
        <x:f>IF(AND(J$12&gt;=$D21,J$12&lt;=$E21),"■","")</x:f>
      </x:c>
      <x:c r="K21" s="45" t="str">
        <x:f>IF(AND(K$12&gt;=$D21,K$12&lt;=$E21),"■","")</x:f>
      </x:c>
      <x:c r="L21" s="45" t="str">
        <x:f>IF(AND(L$12&gt;=$D21,L$12&lt;=$E21),"■","")</x:f>
      </x:c>
      <x:c r="M21" s="45" t="str">
        <x:f>IF(AND(M$12&gt;=$D21,M$12&lt;=$E21),"■","")</x:f>
      </x:c>
      <x:c r="N21" s="45" t="str">
        <x:f>IF(AND(N$12&gt;=$D21,N$12&lt;=$E21),"■","")</x:f>
        <x:v>■</x:v>
      </x:c>
      <x:c r="O21" s="46" t="str">
        <x:f>IF(AND(O$12&gt;=$D21,O$12&lt;=$E21),"■","")</x:f>
        <x:v>■</x:v>
      </x:c>
      <x:c r="P21" s="46" t="str">
        <x:f>IF(AND(P$12&gt;=$D21,P$12&lt;=$E21),"■","")</x:f>
        <x:v>■</x:v>
      </x:c>
      <x:c r="Q21" s="46" t="str">
        <x:f>IF(AND(Q$12&gt;=$D21,Q$12&lt;=$E21),"■","")</x:f>
      </x:c>
      <x:c r="R21" s="46" t="str">
        <x:f>IF(AND(R$12&gt;=$D21,R$12&lt;=$E21),"■","")</x:f>
      </x:c>
      <x:c r="S21" s="46" t="str">
        <x:f>IF(AND(S$12&gt;=$D21,S$12&lt;=$E21),"■","")</x:f>
      </x:c>
      <x:c r="T21" s="46" t="str">
        <x:f>IF(AND(T$12&gt;=$D21,T$12&lt;=$E21),"■","")</x:f>
      </x:c>
      <x:c r="U21" s="47" t="str">
        <x:f>IF(AND(U$12&gt;=$D21,U$12&lt;=$E21),"■","")</x:f>
      </x:c>
      <x:c r="V21" s="47" t="str">
        <x:f>IF(AND(V$12&gt;=$D21,V$12&lt;=$E21),"■","")</x:f>
      </x:c>
      <x:c r="W21" s="47" t="str">
        <x:f>IF(AND(W$12&gt;=$D21,W$12&lt;=$E21),"■","")</x:f>
      </x:c>
      <x:c r="X21" s="47" t="str">
        <x:f>IF(AND(X$12&gt;=$D21,X$12&lt;=$E21),"■","")</x:f>
      </x:c>
      <x:c r="Y21" s="47" t="str">
        <x:f>IF(AND(Y$12&gt;=$D21,Y$12&lt;=$E21),"■","")</x:f>
      </x:c>
      <x:c r="Z21" s="47" t="str">
        <x:f>IF(AND(Z$12&gt;=$D21,Z$12&lt;=$E21),"■","")</x:f>
      </x:c>
    </x:row>
    <x:row r="22" ht="32" customHeight="1">
      <x:c r="A22" s="20" t="str">
        <x:v>D10</x:v>
      </x:c>
      <x:c r="B22" s="20" t="str">
        <x:v>元素最近距离测量</x:v>
      </x:c>
      <x:c r="C22" s="20" t="str">
        <x:v>三维前端</x:v>
      </x:c>
      <x:c r="D22" s="22" t="n">
        <x:v>46227.166666666664</x:v>
      </x:c>
      <x:c r="E22" s="22" t="n">
        <x:v>46231.166666666664</x:v>
      </x:c>
      <x:c r="F22" s="20" t="str">
        <x:v>未开始</x:v>
      </x:c>
      <x:c r="G22" s="45" t="str">
        <x:f>IF(AND(G$12&gt;=$D22,G$12&lt;=$E22),"■","")</x:f>
      </x:c>
      <x:c r="H22" s="45" t="str">
        <x:f>IF(AND(H$12&gt;=$D22,H$12&lt;=$E22),"■","")</x:f>
      </x:c>
      <x:c r="I22" s="45" t="str">
        <x:f>IF(AND(I$12&gt;=$D22,I$12&lt;=$E22),"■","")</x:f>
      </x:c>
      <x:c r="J22" s="45" t="str">
        <x:f>IF(AND(J$12&gt;=$D22,J$12&lt;=$E22),"■","")</x:f>
      </x:c>
      <x:c r="K22" s="45" t="str">
        <x:f>IF(AND(K$12&gt;=$D22,K$12&lt;=$E22),"■","")</x:f>
      </x:c>
      <x:c r="L22" s="45" t="str">
        <x:f>IF(AND(L$12&gt;=$D22,L$12&lt;=$E22),"■","")</x:f>
      </x:c>
      <x:c r="M22" s="45" t="str">
        <x:f>IF(AND(M$12&gt;=$D22,M$12&lt;=$E22),"■","")</x:f>
      </x:c>
      <x:c r="N22" s="45" t="str">
        <x:f>IF(AND(N$12&gt;=$D22,N$12&lt;=$E22),"■","")</x:f>
      </x:c>
      <x:c r="O22" s="46" t="str">
        <x:f>IF(AND(O$12&gt;=$D22,O$12&lt;=$E22),"■","")</x:f>
        <x:v>■</x:v>
      </x:c>
      <x:c r="P22" s="46" t="str">
        <x:f>IF(AND(P$12&gt;=$D22,P$12&lt;=$E22),"■","")</x:f>
        <x:v>■</x:v>
      </x:c>
      <x:c r="Q22" s="46" t="str">
        <x:f>IF(AND(Q$12&gt;=$D22,Q$12&lt;=$E22),"■","")</x:f>
        <x:v>■</x:v>
      </x:c>
      <x:c r="R22" s="46" t="str">
        <x:f>IF(AND(R$12&gt;=$D22,R$12&lt;=$E22),"■","")</x:f>
      </x:c>
      <x:c r="S22" s="46" t="str">
        <x:f>IF(AND(S$12&gt;=$D22,S$12&lt;=$E22),"■","")</x:f>
      </x:c>
      <x:c r="T22" s="46" t="str">
        <x:f>IF(AND(T$12&gt;=$D22,T$12&lt;=$E22),"■","")</x:f>
      </x:c>
      <x:c r="U22" s="47" t="str">
        <x:f>IF(AND(U$12&gt;=$D22,U$12&lt;=$E22),"■","")</x:f>
      </x:c>
      <x:c r="V22" s="47" t="str">
        <x:f>IF(AND(V$12&gt;=$D22,V$12&lt;=$E22),"■","")</x:f>
      </x:c>
      <x:c r="W22" s="47" t="str">
        <x:f>IF(AND(W$12&gt;=$D22,W$12&lt;=$E22),"■","")</x:f>
      </x:c>
      <x:c r="X22" s="47" t="str">
        <x:f>IF(AND(X$12&gt;=$D22,X$12&lt;=$E22),"■","")</x:f>
      </x:c>
      <x:c r="Y22" s="47" t="str">
        <x:f>IF(AND(Y$12&gt;=$D22,Y$12&lt;=$E22),"■","")</x:f>
      </x:c>
      <x:c r="Z22" s="47" t="str">
        <x:f>IF(AND(Z$12&gt;=$D22,Z$12&lt;=$E22),"■","")</x:f>
      </x:c>
    </x:row>
    <x:row r="23" ht="32" customHeight="1">
      <x:c r="A23" s="20" t="str">
        <x:v>D11</x:v>
      </x:c>
      <x:c r="B23" s="20" t="str">
        <x:v>管道与梁板柱墙最近距离</x:v>
      </x:c>
      <x:c r="C23" s="20" t="str">
        <x:v>三维/后端</x:v>
      </x:c>
      <x:c r="D23" s="22" t="n">
        <x:v>46230.166666666664</x:v>
      </x:c>
      <x:c r="E23" s="22" t="n">
        <x:v>46233.166666666664</x:v>
      </x:c>
      <x:c r="F23" s="20" t="str">
        <x:v>未开始</x:v>
      </x:c>
      <x:c r="G23" s="45" t="str">
        <x:f>IF(AND(G$12&gt;=$D23,G$12&lt;=$E23),"■","")</x:f>
      </x:c>
      <x:c r="H23" s="45" t="str">
        <x:f>IF(AND(H$12&gt;=$D23,H$12&lt;=$E23),"■","")</x:f>
      </x:c>
      <x:c r="I23" s="45" t="str">
        <x:f>IF(AND(I$12&gt;=$D23,I$12&lt;=$E23),"■","")</x:f>
      </x:c>
      <x:c r="J23" s="45" t="str">
        <x:f>IF(AND(J$12&gt;=$D23,J$12&lt;=$E23),"■","")</x:f>
      </x:c>
      <x:c r="K23" s="45" t="str">
        <x:f>IF(AND(K$12&gt;=$D23,K$12&lt;=$E23),"■","")</x:f>
      </x:c>
      <x:c r="L23" s="45" t="str">
        <x:f>IF(AND(L$12&gt;=$D23,L$12&lt;=$E23),"■","")</x:f>
      </x:c>
      <x:c r="M23" s="45" t="str">
        <x:f>IF(AND(M$12&gt;=$D23,M$12&lt;=$E23),"■","")</x:f>
      </x:c>
      <x:c r="N23" s="45" t="str">
        <x:f>IF(AND(N$12&gt;=$D23,N$12&lt;=$E23),"■","")</x:f>
      </x:c>
      <x:c r="O23" s="46" t="str">
        <x:f>IF(AND(O$12&gt;=$D23,O$12&lt;=$E23),"■","")</x:f>
      </x:c>
      <x:c r="P23" s="46" t="str">
        <x:f>IF(AND(P$12&gt;=$D23,P$12&lt;=$E23),"■","")</x:f>
        <x:v>■</x:v>
      </x:c>
      <x:c r="Q23" s="46" t="str">
        <x:f>IF(AND(Q$12&gt;=$D23,Q$12&lt;=$E23),"■","")</x:f>
        <x:v>■</x:v>
      </x:c>
      <x:c r="R23" s="46" t="str">
        <x:f>IF(AND(R$12&gt;=$D23,R$12&lt;=$E23),"■","")</x:f>
        <x:v>■</x:v>
      </x:c>
      <x:c r="S23" s="46" t="str">
        <x:f>IF(AND(S$12&gt;=$D23,S$12&lt;=$E23),"■","")</x:f>
        <x:v>■</x:v>
      </x:c>
      <x:c r="T23" s="46" t="str">
        <x:f>IF(AND(T$12&gt;=$D23,T$12&lt;=$E23),"■","")</x:f>
      </x:c>
      <x:c r="U23" s="47" t="str">
        <x:f>IF(AND(U$12&gt;=$D23,U$12&lt;=$E23),"■","")</x:f>
      </x:c>
      <x:c r="V23" s="47" t="str">
        <x:f>IF(AND(V$12&gt;=$D23,V$12&lt;=$E23),"■","")</x:f>
      </x:c>
      <x:c r="W23" s="47" t="str">
        <x:f>IF(AND(W$12&gt;=$D23,W$12&lt;=$E23),"■","")</x:f>
      </x:c>
      <x:c r="X23" s="47" t="str">
        <x:f>IF(AND(X$12&gt;=$D23,X$12&lt;=$E23),"■","")</x:f>
      </x:c>
      <x:c r="Y23" s="47" t="str">
        <x:f>IF(AND(Y$12&gt;=$D23,Y$12&lt;=$E23),"■","")</x:f>
      </x:c>
      <x:c r="Z23" s="47" t="str">
        <x:f>IF(AND(Z$12&gt;=$D23,Z$12&lt;=$E23),"■","")</x:f>
      </x:c>
    </x:row>
    <x:row r="24" ht="32" customHeight="1">
      <x:c r="A24" s="20" t="str">
        <x:v>D12</x:v>
      </x:c>
      <x:c r="B24" s="20" t="str">
        <x:v>管道与管道最近距离</x:v>
      </x:c>
      <x:c r="C24" s="20" t="str">
        <x:v>三维前端</x:v>
      </x:c>
      <x:c r="D24" s="22" t="n">
        <x:v>46232.166666666664</x:v>
      </x:c>
      <x:c r="E24" s="22" t="n">
        <x:v>46234.166666666664</x:v>
      </x:c>
      <x:c r="F24" s="20" t="str">
        <x:v>未开始</x:v>
      </x:c>
      <x:c r="G24" s="45" t="str">
        <x:f>IF(AND(G$12&gt;=$D24,G$12&lt;=$E24),"■","")</x:f>
      </x:c>
      <x:c r="H24" s="45" t="str">
        <x:f>IF(AND(H$12&gt;=$D24,H$12&lt;=$E24),"■","")</x:f>
      </x:c>
      <x:c r="I24" s="45" t="str">
        <x:f>IF(AND(I$12&gt;=$D24,I$12&lt;=$E24),"■","")</x:f>
      </x:c>
      <x:c r="J24" s="45" t="str">
        <x:f>IF(AND(J$12&gt;=$D24,J$12&lt;=$E24),"■","")</x:f>
      </x:c>
      <x:c r="K24" s="45" t="str">
        <x:f>IF(AND(K$12&gt;=$D24,K$12&lt;=$E24),"■","")</x:f>
      </x:c>
      <x:c r="L24" s="45" t="str">
        <x:f>IF(AND(L$12&gt;=$D24,L$12&lt;=$E24),"■","")</x:f>
      </x:c>
      <x:c r="M24" s="45" t="str">
        <x:f>IF(AND(M$12&gt;=$D24,M$12&lt;=$E24),"■","")</x:f>
      </x:c>
      <x:c r="N24" s="45" t="str">
        <x:f>IF(AND(N$12&gt;=$D24,N$12&lt;=$E24),"■","")</x:f>
      </x:c>
      <x:c r="O24" s="46" t="str">
        <x:f>IF(AND(O$12&gt;=$D24,O$12&lt;=$E24),"■","")</x:f>
      </x:c>
      <x:c r="P24" s="46" t="str">
        <x:f>IF(AND(P$12&gt;=$D24,P$12&lt;=$E24),"■","")</x:f>
      </x:c>
      <x:c r="Q24" s="46" t="str">
        <x:f>IF(AND(Q$12&gt;=$D24,Q$12&lt;=$E24),"■","")</x:f>
      </x:c>
      <x:c r="R24" s="46" t="str">
        <x:f>IF(AND(R$12&gt;=$D24,R$12&lt;=$E24),"■","")</x:f>
        <x:v>■</x:v>
      </x:c>
      <x:c r="S24" s="46" t="str">
        <x:f>IF(AND(S$12&gt;=$D24,S$12&lt;=$E24),"■","")</x:f>
        <x:v>■</x:v>
      </x:c>
      <x:c r="T24" s="46" t="str">
        <x:f>IF(AND(T$12&gt;=$D24,T$12&lt;=$E24),"■","")</x:f>
        <x:v>■</x:v>
      </x:c>
      <x:c r="U24" s="47" t="str">
        <x:f>IF(AND(U$12&gt;=$D24,U$12&lt;=$E24),"■","")</x:f>
      </x:c>
      <x:c r="V24" s="47" t="str">
        <x:f>IF(AND(V$12&gt;=$D24,V$12&lt;=$E24),"■","")</x:f>
      </x:c>
      <x:c r="W24" s="47" t="str">
        <x:f>IF(AND(W$12&gt;=$D24,W$12&lt;=$E24),"■","")</x:f>
      </x:c>
      <x:c r="X24" s="47" t="str">
        <x:f>IF(AND(X$12&gt;=$D24,X$12&lt;=$E24),"■","")</x:f>
      </x:c>
      <x:c r="Y24" s="47" t="str">
        <x:f>IF(AND(Y$12&gt;=$D24,Y$12&lt;=$E24),"■","")</x:f>
      </x:c>
      <x:c r="Z24" s="47" t="str">
        <x:f>IF(AND(Z$12&gt;=$D24,Z$12&lt;=$E24),"■","")</x:f>
      </x:c>
    </x:row>
    <x:row r="25" ht="32" customHeight="1">
      <x:c r="A25" s="20" t="str">
        <x:v>D13</x:v>
      </x:c>
      <x:c r="B25" s="20" t="str">
        <x:v>管道信息标注</x:v>
      </x:c>
      <x:c r="C25" s="20" t="str">
        <x:v>三维前端</x:v>
      </x:c>
      <x:c r="D25" s="22" t="n">
        <x:v>46232.166666666664</x:v>
      </x:c>
      <x:c r="E25" s="22" t="n">
        <x:v>46238.166666666664</x:v>
      </x:c>
      <x:c r="F25" s="20" t="str">
        <x:v>未开始</x:v>
      </x:c>
      <x:c r="G25" s="45" t="str">
        <x:f>IF(AND(G$12&gt;=$D25,G$12&lt;=$E25),"■","")</x:f>
      </x:c>
      <x:c r="H25" s="45" t="str">
        <x:f>IF(AND(H$12&gt;=$D25,H$12&lt;=$E25),"■","")</x:f>
      </x:c>
      <x:c r="I25" s="45" t="str">
        <x:f>IF(AND(I$12&gt;=$D25,I$12&lt;=$E25),"■","")</x:f>
      </x:c>
      <x:c r="J25" s="45" t="str">
        <x:f>IF(AND(J$12&gt;=$D25,J$12&lt;=$E25),"■","")</x:f>
      </x:c>
      <x:c r="K25" s="45" t="str">
        <x:f>IF(AND(K$12&gt;=$D25,K$12&lt;=$E25),"■","")</x:f>
      </x:c>
      <x:c r="L25" s="45" t="str">
        <x:f>IF(AND(L$12&gt;=$D25,L$12&lt;=$E25),"■","")</x:f>
      </x:c>
      <x:c r="M25" s="45" t="str">
        <x:f>IF(AND(M$12&gt;=$D25,M$12&lt;=$E25),"■","")</x:f>
      </x:c>
      <x:c r="N25" s="45" t="str">
        <x:f>IF(AND(N$12&gt;=$D25,N$12&lt;=$E25),"■","")</x:f>
      </x:c>
      <x:c r="O25" s="46" t="str">
        <x:f>IF(AND(O$12&gt;=$D25,O$12&lt;=$E25),"■","")</x:f>
      </x:c>
      <x:c r="P25" s="46" t="str">
        <x:f>IF(AND(P$12&gt;=$D25,P$12&lt;=$E25),"■","")</x:f>
      </x:c>
      <x:c r="Q25" s="46" t="str">
        <x:f>IF(AND(Q$12&gt;=$D25,Q$12&lt;=$E25),"■","")</x:f>
      </x:c>
      <x:c r="R25" s="46" t="str">
        <x:f>IF(AND(R$12&gt;=$D25,R$12&lt;=$E25),"■","")</x:f>
        <x:v>■</x:v>
      </x:c>
      <x:c r="S25" s="46" t="str">
        <x:f>IF(AND(S$12&gt;=$D25,S$12&lt;=$E25),"■","")</x:f>
        <x:v>■</x:v>
      </x:c>
      <x:c r="T25" s="46" t="str">
        <x:f>IF(AND(T$12&gt;=$D25,T$12&lt;=$E25),"■","")</x:f>
        <x:v>■</x:v>
      </x:c>
      <x:c r="U25" s="47" t="str">
        <x:f>IF(AND(U$12&gt;=$D25,U$12&lt;=$E25),"■","")</x:f>
        <x:v>■</x:v>
      </x:c>
      <x:c r="V25" s="47" t="str">
        <x:f>IF(AND(V$12&gt;=$D25,V$12&lt;=$E25),"■","")</x:f>
        <x:v>■</x:v>
      </x:c>
      <x:c r="W25" s="47" t="str">
        <x:f>IF(AND(W$12&gt;=$D25,W$12&lt;=$E25),"■","")</x:f>
      </x:c>
      <x:c r="X25" s="47" t="str">
        <x:f>IF(AND(X$12&gt;=$D25,X$12&lt;=$E25),"■","")</x:f>
      </x:c>
      <x:c r="Y25" s="47" t="str">
        <x:f>IF(AND(Y$12&gt;=$D25,Y$12&lt;=$E25),"■","")</x:f>
      </x:c>
      <x:c r="Z25" s="47" t="str">
        <x:f>IF(AND(Z$12&gt;=$D25,Z$12&lt;=$E25),"■","")</x:f>
      </x:c>
    </x:row>
    <x:row r="26" ht="32" customHeight="1">
      <x:c r="A26" s="20" t="str">
        <x:v>D14</x:v>
      </x:c>
      <x:c r="B26" s="20" t="str">
        <x:v>三维校审流程集成</x:v>
      </x:c>
      <x:c r="C26" s="20" t="str">
        <x:v>校审前端</x:v>
      </x:c>
      <x:c r="D26" s="22" t="n">
        <x:v>46237.166666666664</x:v>
      </x:c>
      <x:c r="E26" s="22" t="n">
        <x:v>46239.166666666664</x:v>
      </x:c>
      <x:c r="F26" s="20" t="str">
        <x:v>未开始</x:v>
      </x:c>
      <x:c r="G26" s="45" t="str">
        <x:f>IF(AND(G$12&gt;=$D26,G$12&lt;=$E26),"■","")</x:f>
      </x:c>
      <x:c r="H26" s="45" t="str">
        <x:f>IF(AND(H$12&gt;=$D26,H$12&lt;=$E26),"■","")</x:f>
      </x:c>
      <x:c r="I26" s="45" t="str">
        <x:f>IF(AND(I$12&gt;=$D26,I$12&lt;=$E26),"■","")</x:f>
      </x:c>
      <x:c r="J26" s="45" t="str">
        <x:f>IF(AND(J$12&gt;=$D26,J$12&lt;=$E26),"■","")</x:f>
      </x:c>
      <x:c r="K26" s="45" t="str">
        <x:f>IF(AND(K$12&gt;=$D26,K$12&lt;=$E26),"■","")</x:f>
      </x:c>
      <x:c r="L26" s="45" t="str">
        <x:f>IF(AND(L$12&gt;=$D26,L$12&lt;=$E26),"■","")</x:f>
      </x:c>
      <x:c r="M26" s="45" t="str">
        <x:f>IF(AND(M$12&gt;=$D26,M$12&lt;=$E26),"■","")</x:f>
      </x:c>
      <x:c r="N26" s="45" t="str">
        <x:f>IF(AND(N$12&gt;=$D26,N$12&lt;=$E26),"■","")</x:f>
      </x:c>
      <x:c r="O26" s="46" t="str">
        <x:f>IF(AND(O$12&gt;=$D26,O$12&lt;=$E26),"■","")</x:f>
      </x:c>
      <x:c r="P26" s="46" t="str">
        <x:f>IF(AND(P$12&gt;=$D26,P$12&lt;=$E26),"■","")</x:f>
      </x:c>
      <x:c r="Q26" s="46" t="str">
        <x:f>IF(AND(Q$12&gt;=$D26,Q$12&lt;=$E26),"■","")</x:f>
      </x:c>
      <x:c r="R26" s="46" t="str">
        <x:f>IF(AND(R$12&gt;=$D26,R$12&lt;=$E26),"■","")</x:f>
      </x:c>
      <x:c r="S26" s="46" t="str">
        <x:f>IF(AND(S$12&gt;=$D26,S$12&lt;=$E26),"■","")</x:f>
      </x:c>
      <x:c r="T26" s="46" t="str">
        <x:f>IF(AND(T$12&gt;=$D26,T$12&lt;=$E26),"■","")</x:f>
      </x:c>
      <x:c r="U26" s="47" t="str">
        <x:f>IF(AND(U$12&gt;=$D26,U$12&lt;=$E26),"■","")</x:f>
        <x:v>■</x:v>
      </x:c>
      <x:c r="V26" s="47" t="str">
        <x:f>IF(AND(V$12&gt;=$D26,V$12&lt;=$E26),"■","")</x:f>
        <x:v>■</x:v>
      </x:c>
      <x:c r="W26" s="47" t="str">
        <x:f>IF(AND(W$12&gt;=$D26,W$12&lt;=$E26),"■","")</x:f>
        <x:v>■</x:v>
      </x:c>
      <x:c r="X26" s="47" t="str">
        <x:f>IF(AND(X$12&gt;=$D26,X$12&lt;=$E26),"■","")</x:f>
      </x:c>
      <x:c r="Y26" s="47" t="str">
        <x:f>IF(AND(Y$12&gt;=$D26,Y$12&lt;=$E26),"■","")</x:f>
      </x:c>
      <x:c r="Z26" s="47" t="str">
        <x:f>IF(AND(Z$12&gt;=$D26,Z$12&lt;=$E26),"■","")</x:f>
      </x:c>
    </x:row>
    <x:row r="27" ht="32" customHeight="1">
      <x:c r="A27" s="20" t="str">
        <x:v>D15</x:v>
      </x:c>
      <x:c r="B27" s="20" t="str">
        <x:v>综合联调与用户验收</x:v>
      </x:c>
      <x:c r="C27" s="20" t="str">
        <x:v>测试/联调</x:v>
      </x:c>
      <x:c r="D27" s="22" t="n">
        <x:v>46240.166666666664</x:v>
      </x:c>
      <x:c r="E27" s="22" t="n">
        <x:v>46241.166666666664</x:v>
      </x:c>
      <x:c r="F27" s="20" t="str">
        <x:v>未开始</x:v>
      </x:c>
      <x:c r="G27" s="45" t="str">
        <x:f>IF(AND(G$12&gt;=$D27,G$12&lt;=$E27),"■","")</x:f>
      </x:c>
      <x:c r="H27" s="45" t="str">
        <x:f>IF(AND(H$12&gt;=$D27,H$12&lt;=$E27),"■","")</x:f>
      </x:c>
      <x:c r="I27" s="45" t="str">
        <x:f>IF(AND(I$12&gt;=$D27,I$12&lt;=$E27),"■","")</x:f>
      </x:c>
      <x:c r="J27" s="45" t="str">
        <x:f>IF(AND(J$12&gt;=$D27,J$12&lt;=$E27),"■","")</x:f>
      </x:c>
      <x:c r="K27" s="45" t="str">
        <x:f>IF(AND(K$12&gt;=$D27,K$12&lt;=$E27),"■","")</x:f>
      </x:c>
      <x:c r="L27" s="45" t="str">
        <x:f>IF(AND(L$12&gt;=$D27,L$12&lt;=$E27),"■","")</x:f>
      </x:c>
      <x:c r="M27" s="45" t="str">
        <x:f>IF(AND(M$12&gt;=$D27,M$12&lt;=$E27),"■","")</x:f>
      </x:c>
      <x:c r="N27" s="45" t="str">
        <x:f>IF(AND(N$12&gt;=$D27,N$12&lt;=$E27),"■","")</x:f>
      </x:c>
      <x:c r="O27" s="46" t="str">
        <x:f>IF(AND(O$12&gt;=$D27,O$12&lt;=$E27),"■","")</x:f>
      </x:c>
      <x:c r="P27" s="46" t="str">
        <x:f>IF(AND(P$12&gt;=$D27,P$12&lt;=$E27),"■","")</x:f>
      </x:c>
      <x:c r="Q27" s="46" t="str">
        <x:f>IF(AND(Q$12&gt;=$D27,Q$12&lt;=$E27),"■","")</x:f>
      </x:c>
      <x:c r="R27" s="46" t="str">
        <x:f>IF(AND(R$12&gt;=$D27,R$12&lt;=$E27),"■","")</x:f>
      </x:c>
      <x:c r="S27" s="46" t="str">
        <x:f>IF(AND(S$12&gt;=$D27,S$12&lt;=$E27),"■","")</x:f>
      </x:c>
      <x:c r="T27" s="46" t="str">
        <x:f>IF(AND(T$12&gt;=$D27,T$12&lt;=$E27),"■","")</x:f>
      </x:c>
      <x:c r="U27" s="47" t="str">
        <x:f>IF(AND(U$12&gt;=$D27,U$12&lt;=$E27),"■","")</x:f>
      </x:c>
      <x:c r="V27" s="47" t="str">
        <x:f>IF(AND(V$12&gt;=$D27,V$12&lt;=$E27),"■","")</x:f>
      </x:c>
      <x:c r="W27" s="47" t="str">
        <x:f>IF(AND(W$12&gt;=$D27,W$12&lt;=$E27),"■","")</x:f>
      </x:c>
      <x:c r="X27" s="47" t="str">
        <x:f>IF(AND(X$12&gt;=$D27,X$12&lt;=$E27),"■","")</x:f>
        <x:v>■</x:v>
      </x:c>
      <x:c r="Y27" s="47" t="str">
        <x:f>IF(AND(Y$12&gt;=$D27,Y$12&lt;=$E27),"■","")</x:f>
        <x:v>■</x:v>
      </x:c>
      <x:c r="Z27" s="47" t="str">
        <x:f>IF(AND(Z$12&gt;=$D27,Z$12&lt;=$E27),"■","")</x:f>
      </x:c>
    </x:row>
    <x:row r="28" ht="32" customHeight="1">
      <x:c r="A28" s="20" t="str">
        <x:v>D16</x:v>
      </x:c>
      <x:c r="B28" s="20" t="str">
        <x:v>发布交付</x:v>
      </x:c>
      <x:c r="C28" s="20" t="str">
        <x:v>项目负责人</x:v>
      </x:c>
      <x:c r="D28" s="22" t="n">
        <x:v>46244.166666666664</x:v>
      </x:c>
      <x:c r="E28" s="22" t="n">
        <x:v>46244.166666666664</x:v>
      </x:c>
      <x:c r="F28" s="20" t="str">
        <x:v>未开始</x:v>
      </x:c>
      <x:c r="G28" s="45" t="str">
        <x:f>IF(AND(G$12&gt;=$D28,G$12&lt;=$E28),"■","")</x:f>
      </x:c>
      <x:c r="H28" s="45" t="str">
        <x:f>IF(AND(H$12&gt;=$D28,H$12&lt;=$E28),"■","")</x:f>
      </x:c>
      <x:c r="I28" s="45" t="str">
        <x:f>IF(AND(I$12&gt;=$D28,I$12&lt;=$E28),"■","")</x:f>
      </x:c>
      <x:c r="J28" s="45" t="str">
        <x:f>IF(AND(J$12&gt;=$D28,J$12&lt;=$E28),"■","")</x:f>
      </x:c>
      <x:c r="K28" s="45" t="str">
        <x:f>IF(AND(K$12&gt;=$D28,K$12&lt;=$E28),"■","")</x:f>
      </x:c>
      <x:c r="L28" s="45" t="str">
        <x:f>IF(AND(L$12&gt;=$D28,L$12&lt;=$E28),"■","")</x:f>
      </x:c>
      <x:c r="M28" s="45" t="str">
        <x:f>IF(AND(M$12&gt;=$D28,M$12&lt;=$E28),"■","")</x:f>
      </x:c>
      <x:c r="N28" s="45" t="str">
        <x:f>IF(AND(N$12&gt;=$D28,N$12&lt;=$E28),"■","")</x:f>
      </x:c>
      <x:c r="O28" s="46" t="str">
        <x:f>IF(AND(O$12&gt;=$D28,O$12&lt;=$E28),"■","")</x:f>
      </x:c>
      <x:c r="P28" s="46" t="str">
        <x:f>IF(AND(P$12&gt;=$D28,P$12&lt;=$E28),"■","")</x:f>
      </x:c>
      <x:c r="Q28" s="46" t="str">
        <x:f>IF(AND(Q$12&gt;=$D28,Q$12&lt;=$E28),"■","")</x:f>
      </x:c>
      <x:c r="R28" s="46" t="str">
        <x:f>IF(AND(R$12&gt;=$D28,R$12&lt;=$E28),"■","")</x:f>
      </x:c>
      <x:c r="S28" s="46" t="str">
        <x:f>IF(AND(S$12&gt;=$D28,S$12&lt;=$E28),"■","")</x:f>
      </x:c>
      <x:c r="T28" s="46" t="str">
        <x:f>IF(AND(T$12&gt;=$D28,T$12&lt;=$E28),"■","")</x:f>
      </x:c>
      <x:c r="U28" s="47" t="str">
        <x:f>IF(AND(U$12&gt;=$D28,U$12&lt;=$E28),"■","")</x:f>
      </x:c>
      <x:c r="V28" s="47" t="str">
        <x:f>IF(AND(V$12&gt;=$D28,V$12&lt;=$E28),"■","")</x:f>
      </x:c>
      <x:c r="W28" s="47" t="str">
        <x:f>IF(AND(W$12&gt;=$D28,W$12&lt;=$E28),"■","")</x:f>
      </x:c>
      <x:c r="X28" s="47" t="str">
        <x:f>IF(AND(X$12&gt;=$D28,X$12&lt;=$E28),"■","")</x:f>
      </x:c>
      <x:c r="Y28" s="47" t="str">
        <x:f>IF(AND(Y$12&gt;=$D28,Y$12&lt;=$E28),"■","")</x:f>
      </x:c>
      <x:c r="Z28" s="47" t="str">
        <x:f>IF(AND(Z$12&gt;=$D28,Z$12&lt;=$E28),"■","")</x:f>
        <x:v>■</x:v>
      </x:c>
    </x:row>
  </x:sheetData>
  <x:mergeCells>
    <x:mergeCell ref="A1:Z1"/>
    <x:mergeCell ref="A2:Z2"/>
  </x:mergeCells>
  <x:dataValidations count="1">
    <x:dataValidation type="list" sqref="F13:F28">
      <x:formula1>"未开始,进行中,已完成,阻塞"</x:formula1>
    </x:dataValidation>
  </x:dataValidations>
  <x:pageMargins left="0.7" right="0.7" top="0.75" bottom="0.75" header="0.3" footer="0.3"/>
</x:worksheet>
</file>